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err\Downloads\"/>
    </mc:Choice>
  </mc:AlternateContent>
  <xr:revisionPtr revIDLastSave="0" documentId="13_ncr:1_{8D0DDBDA-3ABE-4C56-A48B-7C78E7717498}" xr6:coauthVersionLast="47" xr6:coauthVersionMax="47" xr10:uidLastSave="{00000000-0000-0000-0000-000000000000}"/>
  <bookViews>
    <workbookView xWindow="-110" yWindow="-110" windowWidth="25420" windowHeight="16300" xr2:uid="{0ED45994-5EFE-4A4E-8BA9-C3AA32741888}"/>
  </bookViews>
  <sheets>
    <sheet name="Ronda 1" sheetId="1" r:id="rId1"/>
    <sheet name="Ronda 2" sheetId="2" r:id="rId2"/>
    <sheet name="Ronda 3" sheetId="3" r:id="rId3"/>
    <sheet name="Ronda 4" sheetId="4" r:id="rId4"/>
    <sheet name="Quarts" sheetId="5" r:id="rId5"/>
    <sheet name="Semi" sheetId="6" r:id="rId6"/>
    <sheet name="Final" sheetId="7" r:id="rId7"/>
  </sheets>
  <definedNames>
    <definedName name="_xlnm._FilterDatabase" localSheetId="0" hidden="1">'Ronda 1'!$A$1:$G$65</definedName>
    <definedName name="_xlnm._FilterDatabase" localSheetId="1" hidden="1">'Ronda 2'!$A$1:$G$33</definedName>
    <definedName name="_xlnm._FilterDatabase" localSheetId="2" hidden="1">'Ronda 3'!$A$1:$G$17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7" l="1"/>
  <c r="G2" i="7"/>
  <c r="F2" i="7"/>
  <c r="K4" i="6"/>
  <c r="G3" i="6"/>
  <c r="G2" i="6"/>
  <c r="F3" i="6"/>
  <c r="F2" i="6"/>
  <c r="K4" i="5"/>
  <c r="G3" i="5"/>
  <c r="G4" i="5"/>
  <c r="G5" i="5"/>
  <c r="G2" i="5"/>
  <c r="F3" i="5"/>
  <c r="F4" i="5"/>
  <c r="F5" i="5"/>
  <c r="F2" i="5"/>
  <c r="K4" i="4"/>
  <c r="G3" i="4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K5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2" i="3"/>
  <c r="G2" i="3" s="1"/>
  <c r="K5" i="2"/>
  <c r="F22" i="2"/>
  <c r="G22" i="2" s="1"/>
  <c r="F6" i="2"/>
  <c r="G6" i="2" s="1"/>
  <c r="F26" i="2"/>
  <c r="G26" i="2" s="1"/>
  <c r="F28" i="2"/>
  <c r="G28" i="2" s="1"/>
  <c r="F12" i="2"/>
  <c r="G12" i="2" s="1"/>
  <c r="F24" i="2"/>
  <c r="G24" i="2" s="1"/>
  <c r="F30" i="2"/>
  <c r="G30" i="2" s="1"/>
  <c r="F7" i="2"/>
  <c r="G7" i="2" s="1"/>
  <c r="F21" i="2"/>
  <c r="G21" i="2" s="1"/>
  <c r="F4" i="2"/>
  <c r="G4" i="2" s="1"/>
  <c r="F14" i="2"/>
  <c r="G14" i="2" s="1"/>
  <c r="F5" i="2"/>
  <c r="G5" i="2" s="1"/>
  <c r="F15" i="2"/>
  <c r="G15" i="2" s="1"/>
  <c r="F17" i="2"/>
  <c r="G17" i="2" s="1"/>
  <c r="F8" i="2"/>
  <c r="G8" i="2" s="1"/>
  <c r="F11" i="2"/>
  <c r="G11" i="2" s="1"/>
  <c r="F33" i="2"/>
  <c r="G33" i="2" s="1"/>
  <c r="F9" i="2"/>
  <c r="G9" i="2" s="1"/>
  <c r="F32" i="2"/>
  <c r="G32" i="2" s="1"/>
  <c r="F3" i="2"/>
  <c r="G3" i="2" s="1"/>
  <c r="F23" i="2"/>
  <c r="G23" i="2" s="1"/>
  <c r="F19" i="2"/>
  <c r="G19" i="2" s="1"/>
  <c r="F13" i="2"/>
  <c r="G13" i="2" s="1"/>
  <c r="F16" i="2"/>
  <c r="G16" i="2" s="1"/>
  <c r="F10" i="2"/>
  <c r="G10" i="2" s="1"/>
  <c r="F18" i="2"/>
  <c r="G18" i="2" s="1"/>
  <c r="F25" i="2"/>
  <c r="G25" i="2" s="1"/>
  <c r="F27" i="2"/>
  <c r="G27" i="2" s="1"/>
  <c r="F20" i="2"/>
  <c r="G20" i="2" s="1"/>
  <c r="F2" i="2"/>
  <c r="G2" i="2" s="1"/>
  <c r="F31" i="2"/>
  <c r="G31" i="2" s="1"/>
  <c r="F29" i="2"/>
  <c r="G29" i="2" s="1"/>
  <c r="K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2" i="1"/>
  <c r="G2" i="1" s="1"/>
</calcChain>
</file>

<file path=xl/sharedStrings.xml><?xml version="1.0" encoding="utf-8"?>
<sst xmlns="http://schemas.openxmlformats.org/spreadsheetml/2006/main" count="444" uniqueCount="201">
  <si>
    <t>Jugador 1</t>
  </si>
  <si>
    <t>Jugador 2</t>
  </si>
  <si>
    <t>Ganador</t>
  </si>
  <si>
    <t>SINNER, Jannik</t>
  </si>
  <si>
    <t>NARDI, Luca</t>
  </si>
  <si>
    <t>SINNER</t>
  </si>
  <si>
    <t>TSENG, Chun-Hsin</t>
  </si>
  <si>
    <t>VUKIC, Aleksandar</t>
  </si>
  <si>
    <t>VUKIC</t>
  </si>
  <si>
    <t>MARTÍNEZ, Pedro</t>
  </si>
  <si>
    <t>LOFFHAGEN, George</t>
  </si>
  <si>
    <t>MARTÍNEZ</t>
  </si>
  <si>
    <t>NAVONE, Mariano</t>
  </si>
  <si>
    <t>SHAPOVALOV, Denis</t>
  </si>
  <si>
    <t>NAVONE</t>
  </si>
  <si>
    <t>DIMITROV, Grigor</t>
  </si>
  <si>
    <t>NISHIOKA, Yoshihito</t>
  </si>
  <si>
    <t>DIMITROV</t>
  </si>
  <si>
    <t>COMESANA, Francisco</t>
  </si>
  <si>
    <t>MOUTET, Corentin</t>
  </si>
  <si>
    <t>MOUTET</t>
  </si>
  <si>
    <t>OFNER, Sebastian</t>
  </si>
  <si>
    <t>MEDJEDOVIC, Hamad</t>
  </si>
  <si>
    <t>OFNER</t>
  </si>
  <si>
    <t>MONDAY, Johannus</t>
  </si>
  <si>
    <t>PAUL, Tommy</t>
  </si>
  <si>
    <t>PAUL</t>
  </si>
  <si>
    <t>SHELTON, Ben</t>
  </si>
  <si>
    <t>BOLT, Alex</t>
  </si>
  <si>
    <t>SHELTON</t>
  </si>
  <si>
    <t>HIJIKATA, Rinky</t>
  </si>
  <si>
    <t>GOFFIN, David</t>
  </si>
  <si>
    <t>HIJIKATA</t>
  </si>
  <si>
    <t>KOVACEVIC, Aleksandar</t>
  </si>
  <si>
    <t>FUCSOVICS, Marton</t>
  </si>
  <si>
    <t>FUCSOVICS</t>
  </si>
  <si>
    <t>MONFILS, Gael</t>
  </si>
  <si>
    <t>HUMBERT, Ugo</t>
  </si>
  <si>
    <t>MONFILS</t>
  </si>
  <si>
    <t>NAKASHIMA, Brandon</t>
  </si>
  <si>
    <t>BU, Yunchaokete</t>
  </si>
  <si>
    <t>NAKASHIMA</t>
  </si>
  <si>
    <t>SHEVCHENKO, Alexander</t>
  </si>
  <si>
    <t>OPELKA, Reilly</t>
  </si>
  <si>
    <t>OPELKA</t>
  </si>
  <si>
    <t>FARIA, Jaime</t>
  </si>
  <si>
    <t>SONEGO, Lorenzo</t>
  </si>
  <si>
    <t>SONEGO</t>
  </si>
  <si>
    <t>BASILASHVILI, Nikoloz</t>
  </si>
  <si>
    <t>MUSETTI, Lorenzo</t>
  </si>
  <si>
    <t>MUSETTI</t>
  </si>
  <si>
    <t>DRAPER, Jack</t>
  </si>
  <si>
    <t>BAEZ, Sebastian</t>
  </si>
  <si>
    <t>DRAPER</t>
  </si>
  <si>
    <t>COLLIGNON, Raphael</t>
  </si>
  <si>
    <t>CILIC, Marin</t>
  </si>
  <si>
    <t>CILIC</t>
  </si>
  <si>
    <t>MCCABE, James</t>
  </si>
  <si>
    <t>MAROZSAN, Fabian</t>
  </si>
  <si>
    <t>MAROZSAN</t>
  </si>
  <si>
    <t>MUNAR, Jaume</t>
  </si>
  <si>
    <t>BUBLIK, Alexander</t>
  </si>
  <si>
    <t>MUNAR</t>
  </si>
  <si>
    <t>COBOLLI, Flavio</t>
  </si>
  <si>
    <t>ZHUKAYEV, Beibit</t>
  </si>
  <si>
    <t>COBOLLI</t>
  </si>
  <si>
    <t>ETCHEVERRY, Tomas Martin</t>
  </si>
  <si>
    <t>PINNINGTON JONES, Jack</t>
  </si>
  <si>
    <t>PINNINGTON JONES</t>
  </si>
  <si>
    <t>GIRON, Marcos</t>
  </si>
  <si>
    <t>UGO CARABELLI, Camilo</t>
  </si>
  <si>
    <t>GIRON</t>
  </si>
  <si>
    <t>GASTON, Hugo</t>
  </si>
  <si>
    <t>MENSIK, Jakub</t>
  </si>
  <si>
    <t>MENSIK</t>
  </si>
  <si>
    <t>DE MINAUR, Alex</t>
  </si>
  <si>
    <t>CARBALLES BAENA, Roberto</t>
  </si>
  <si>
    <t>DE MINAUR</t>
  </si>
  <si>
    <t>CAZAUX, Arthur</t>
  </si>
  <si>
    <t>WALTON, Adam</t>
  </si>
  <si>
    <t>CAZAUX</t>
  </si>
  <si>
    <t>HALYS, Quentin</t>
  </si>
  <si>
    <t>HOLMGREN, August</t>
  </si>
  <si>
    <t>HOLMGREN</t>
  </si>
  <si>
    <t>DZUMHUR, Damir</t>
  </si>
  <si>
    <t>MACHAC, Tomas</t>
  </si>
  <si>
    <t>MACHAC</t>
  </si>
  <si>
    <t>MICHELSEN, Alex</t>
  </si>
  <si>
    <t>KECMANOVIC, Miomir</t>
  </si>
  <si>
    <t>KECMANOVIC</t>
  </si>
  <si>
    <t>DE JONG, Jesper</t>
  </si>
  <si>
    <t>EUBANKS, Christopher</t>
  </si>
  <si>
    <t>DE JONG</t>
  </si>
  <si>
    <t>EVANS, Daniel</t>
  </si>
  <si>
    <t>CLARKE, Jay</t>
  </si>
  <si>
    <t>EVANS</t>
  </si>
  <si>
    <t>MULLER, Alexandre</t>
  </si>
  <si>
    <t>DJOKOVIC, Novak</t>
  </si>
  <si>
    <t>DJOKOVIC</t>
  </si>
  <si>
    <t>FRITZ, Taylor</t>
  </si>
  <si>
    <t>MPETSHI PERRICARD, Giovanni</t>
  </si>
  <si>
    <t>FRITZ</t>
  </si>
  <si>
    <t>DIALLO, Gabriel</t>
  </si>
  <si>
    <t>ALTMAIER, Daniel</t>
  </si>
  <si>
    <t>DIALLO</t>
  </si>
  <si>
    <t>ARNALDI, Matteo</t>
  </si>
  <si>
    <t>VAN DE ZANDSCHULP, Botic</t>
  </si>
  <si>
    <t>VAN DE ZANDSCHULP</t>
  </si>
  <si>
    <t>HOLT, Brandon</t>
  </si>
  <si>
    <t>DAVIDOVICH FOKINA, Alejandro</t>
  </si>
  <si>
    <t>DAVIDOVICH FOKINA</t>
  </si>
  <si>
    <t>POPYRIN, Alexei</t>
  </si>
  <si>
    <t>FERY, Arthur</t>
  </si>
  <si>
    <t>FERY</t>
  </si>
  <si>
    <t>DARDERI, Luciano</t>
  </si>
  <si>
    <t>SAFIULLIN, Roman</t>
  </si>
  <si>
    <t>DARDERI</t>
  </si>
  <si>
    <t>KOPRIVA, Vit</t>
  </si>
  <si>
    <t>THOMPSON, Jordan</t>
  </si>
  <si>
    <t>THOMPSON</t>
  </si>
  <si>
    <t>BONZI, Benjamin</t>
  </si>
  <si>
    <t>MEDVEDEV, Daniil</t>
  </si>
  <si>
    <t>BONZI</t>
  </si>
  <si>
    <t>CERUNDOLO, Francisco</t>
  </si>
  <si>
    <t>BORGES, Nuno</t>
  </si>
  <si>
    <t>BORGES</t>
  </si>
  <si>
    <t>HARRIS, Billy</t>
  </si>
  <si>
    <t>LAJOVIC, Dusan</t>
  </si>
  <si>
    <t>HARRIS</t>
  </si>
  <si>
    <t>MOCHIZUKI, Shintaro</t>
  </si>
  <si>
    <t>ZEPPIERI, Giulio</t>
  </si>
  <si>
    <t>MOCHIZUKI</t>
  </si>
  <si>
    <t>MCDONALD, Mackenzie</t>
  </si>
  <si>
    <t>KHACHANOV, Karen</t>
  </si>
  <si>
    <t>KHACHANOV</t>
  </si>
  <si>
    <t>BERRETTINI, Matteo</t>
  </si>
  <si>
    <t>MAJCHRZAK, Kamil</t>
  </si>
  <si>
    <t>MAJCHRZAK</t>
  </si>
  <si>
    <t>QUINN, Ethan</t>
  </si>
  <si>
    <t>SEARLE, Henry</t>
  </si>
  <si>
    <t>QUINN</t>
  </si>
  <si>
    <t>GARIN, Cristian</t>
  </si>
  <si>
    <t>RODESCH, Chris</t>
  </si>
  <si>
    <t>GARIN</t>
  </si>
  <si>
    <t>RINDERKNECH, Arthur</t>
  </si>
  <si>
    <t>ZVEREV, Alexander</t>
  </si>
  <si>
    <t>RINDERKNECH</t>
  </si>
  <si>
    <t>RUNE, Holger</t>
  </si>
  <si>
    <t>JARRY, Nicolas</t>
  </si>
  <si>
    <t>JARRY</t>
  </si>
  <si>
    <t>TIEN, Learner</t>
  </si>
  <si>
    <t>BASAVAREDDY, Nishesh</t>
  </si>
  <si>
    <t>TIEN</t>
  </si>
  <si>
    <t>FEARNLEY, Jacob</t>
  </si>
  <si>
    <t>FONSECA, Joao</t>
  </si>
  <si>
    <t>FONSECA</t>
  </si>
  <si>
    <t>BROOKSBY, Jenson</t>
  </si>
  <si>
    <t>GRIEKSPOOR, Tallon</t>
  </si>
  <si>
    <t>BROOKSBY</t>
  </si>
  <si>
    <t>LEHECKA, Jiri</t>
  </si>
  <si>
    <t>DELLIEN, Hugo</t>
  </si>
  <si>
    <t>LEHECKA</t>
  </si>
  <si>
    <t>BELLUCCI, Mattia</t>
  </si>
  <si>
    <t>CRAWFORD, Oliver</t>
  </si>
  <si>
    <t>BELLUCCI</t>
  </si>
  <si>
    <t>NORRIE, Cameron</t>
  </si>
  <si>
    <t>BAUTISTA AGUT, Roberto</t>
  </si>
  <si>
    <t>NORRIE</t>
  </si>
  <si>
    <t>MOLLER, Elmer</t>
  </si>
  <si>
    <t>TIAFOE, Frances</t>
  </si>
  <si>
    <t>TIAFOE</t>
  </si>
  <si>
    <t>RUBLEV, Andrey</t>
  </si>
  <si>
    <t>DJERE, Laslo</t>
  </si>
  <si>
    <t>RUBLEV</t>
  </si>
  <si>
    <t>BERGS, Zizou</t>
  </si>
  <si>
    <t>HARRIS, Lloyd</t>
  </si>
  <si>
    <t>MANNARINO, Adrian</t>
  </si>
  <si>
    <t>O'CONNELL, Christopher</t>
  </si>
  <si>
    <t>MANNARINO</t>
  </si>
  <si>
    <t>ROYER, Valentin</t>
  </si>
  <si>
    <t>TSITSIPAS, Stefanos</t>
  </si>
  <si>
    <t>ROYER</t>
  </si>
  <si>
    <t>AUGER-ALIASSIME, Felix</t>
  </si>
  <si>
    <t>DUCKWORTH, James</t>
  </si>
  <si>
    <t>AUGER-ALIASSIME</t>
  </si>
  <si>
    <t>STRUFF, Jan-Lennard</t>
  </si>
  <si>
    <t>MISOLIC, Filip</t>
  </si>
  <si>
    <t>STRUFF</t>
  </si>
  <si>
    <t>TARVET, Oliver</t>
  </si>
  <si>
    <t>RIEDI, Leandro</t>
  </si>
  <si>
    <t>TARVET</t>
  </si>
  <si>
    <t>FOGNINI, Fabio</t>
  </si>
  <si>
    <t>ALCARAZ, Carlos</t>
  </si>
  <si>
    <t>ALCARAZ</t>
  </si>
  <si>
    <t>Probabilitat 1</t>
  </si>
  <si>
    <t>Probabilitat 2</t>
  </si>
  <si>
    <t>Guanyador</t>
  </si>
  <si>
    <t>Acert</t>
  </si>
  <si>
    <t>IBM Winner</t>
  </si>
  <si>
    <t>Total encertats:</t>
  </si>
  <si>
    <t>% acert: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</si>
</sst>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/>
    <xf numFmtId="2" fontId="0" fillId="0" borderId="0" xfId="0" applyNumberFormat="1"/>
    <xf numFmtId="0" fontId="2" fillId="2" borderId="1" xfId="0" applyFont="1" applyFill="1" applyBorder="1" applyAlignment="1">
      <alignment horizontal="right"/>
    </xf>
    <xf numFmtId="0" fontId="0" fillId="2" borderId="2" xfId="0" applyFill="1" applyBorder="1"/>
    <xf numFmtId="0" fontId="2" fillId="2" borderId="3" xfId="0" applyFont="1" applyFill="1" applyBorder="1" applyAlignment="1">
      <alignment horizontal="right"/>
    </xf>
    <xf numFmtId="10" fontId="0" fillId="2" borderId="4" xfId="1" applyNumberFormat="1" applyFont="1" applyFill="1" applyBorder="1"/>
    <xf numFmtId="0" fontId="0" fillId="0" borderId="0" xfId="0"/>
  </cellXfs>
  <cellStyles count="2">
    <cellStyle name="Normal" xfId="0" builtinId="0"/>
    <cellStyle name="Per cent" xfId="1" builtinId="5"/>
  </cellStyles>
  <dxfs count="1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16C7-25F8-4522-B3D0-0114E321248B}">
  <dimension ref="A1:K65"/>
  <sheetViews>
    <sheetView tabSelected="1" zoomScale="85" zoomScaleNormal="85" workbookViewId="0">
      <pane ySplit="1" topLeftCell="A2" activePane="bottomLeft" state="frozen"/>
      <selection pane="bottomLeft" activeCell="L16" sqref="L16"/>
    </sheetView>
  </sheetViews>
  <sheetFormatPr defaultRowHeight="14.5" x14ac:dyDescent="0.35"/>
  <cols>
    <col min="1" max="1" width="23.6328125" bestFit="1" customWidth="1"/>
    <col min="2" max="2" width="26.90625" bestFit="1" customWidth="1"/>
    <col min="3" max="4" width="13" bestFit="1" customWidth="1"/>
    <col min="5" max="5" width="18.81640625" bestFit="1" customWidth="1"/>
    <col min="6" max="6" width="10.26953125" bestFit="1" customWidth="1"/>
    <col min="10" max="10" width="13.6328125" bestFit="1" customWidth="1"/>
  </cols>
  <sheetData>
    <row r="1" spans="1:1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196</v>
      </c>
      <c r="F1" s="1" t="s">
        <v>198</v>
      </c>
      <c r="G1" s="1" t="s">
        <v>197</v>
      </c>
    </row>
    <row r="2" spans="1:11" x14ac:dyDescent="0.35">
      <c r="A2" t="s">
        <v>3</v>
      </c>
      <c r="B2" t="s">
        <v>4</v>
      </c>
      <c r="C2" s="3">
        <v>79</v>
      </c>
      <c r="D2" s="3">
        <v>21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</row>
    <row r="3" spans="1:11" ht="15" thickBot="1" x14ac:dyDescent="0.4">
      <c r="A3" t="s">
        <v>6</v>
      </c>
      <c r="B3" t="s">
        <v>7</v>
      </c>
      <c r="C3" s="3">
        <v>53</v>
      </c>
      <c r="D3" s="3">
        <v>47</v>
      </c>
      <c r="E3" t="s">
        <v>8</v>
      </c>
      <c r="F3" s="2" t="str">
        <f t="shared" ref="F3:F65" si="0">LEFT(IF(C3&gt;D3, A3, B3), FIND(",", IF(C3&gt;D3, A3, B3)) - 1)</f>
        <v>TSENG</v>
      </c>
      <c r="G3" s="2">
        <f t="shared" ref="G3:G65" si="1">IF(F3=E3, 1, 0)</f>
        <v>0</v>
      </c>
    </row>
    <row r="4" spans="1:11" x14ac:dyDescent="0.35">
      <c r="A4" t="s">
        <v>9</v>
      </c>
      <c r="B4" t="s">
        <v>10</v>
      </c>
      <c r="C4" s="3">
        <v>70</v>
      </c>
      <c r="D4" s="3">
        <v>30</v>
      </c>
      <c r="E4" t="s">
        <v>11</v>
      </c>
      <c r="F4" s="2" t="str">
        <f t="shared" si="0"/>
        <v>MARTÍNEZ</v>
      </c>
      <c r="G4" s="2">
        <f t="shared" si="1"/>
        <v>1</v>
      </c>
      <c r="J4" s="4" t="s">
        <v>199</v>
      </c>
      <c r="K4" s="5">
        <v>37</v>
      </c>
    </row>
    <row r="5" spans="1:11" ht="15" thickBot="1" x14ac:dyDescent="0.4">
      <c r="A5" t="s">
        <v>12</v>
      </c>
      <c r="B5" t="s">
        <v>13</v>
      </c>
      <c r="C5" s="3">
        <v>41</v>
      </c>
      <c r="D5" s="3">
        <v>59</v>
      </c>
      <c r="E5" t="s">
        <v>14</v>
      </c>
      <c r="F5" s="2" t="str">
        <f t="shared" si="0"/>
        <v>SHAPOVALOV</v>
      </c>
      <c r="G5" s="2">
        <f t="shared" si="1"/>
        <v>0</v>
      </c>
      <c r="J5" s="6" t="s">
        <v>200</v>
      </c>
      <c r="K5" s="7">
        <f>37/64</f>
        <v>0.578125</v>
      </c>
    </row>
    <row r="6" spans="1:11" x14ac:dyDescent="0.35">
      <c r="A6" t="s">
        <v>15</v>
      </c>
      <c r="B6" t="s">
        <v>16</v>
      </c>
      <c r="C6" s="3">
        <v>67</v>
      </c>
      <c r="D6" s="3">
        <v>33</v>
      </c>
      <c r="E6" t="s">
        <v>17</v>
      </c>
      <c r="F6" s="2" t="str">
        <f t="shared" si="0"/>
        <v>DIMITROV</v>
      </c>
      <c r="G6" s="2">
        <f t="shared" si="1"/>
        <v>1</v>
      </c>
    </row>
    <row r="7" spans="1:11" x14ac:dyDescent="0.35">
      <c r="A7" t="s">
        <v>18</v>
      </c>
      <c r="B7" t="s">
        <v>19</v>
      </c>
      <c r="C7" s="3">
        <v>46</v>
      </c>
      <c r="D7" s="3">
        <v>54</v>
      </c>
      <c r="E7" t="s">
        <v>20</v>
      </c>
      <c r="F7" s="2" t="str">
        <f t="shared" si="0"/>
        <v>MOUTET</v>
      </c>
      <c r="G7" s="2">
        <f t="shared" si="1"/>
        <v>1</v>
      </c>
    </row>
    <row r="8" spans="1:11" x14ac:dyDescent="0.35">
      <c r="A8" t="s">
        <v>21</v>
      </c>
      <c r="B8" t="s">
        <v>22</v>
      </c>
      <c r="C8" s="3">
        <v>34</v>
      </c>
      <c r="D8" s="3">
        <v>66</v>
      </c>
      <c r="E8" t="s">
        <v>23</v>
      </c>
      <c r="F8" s="2" t="str">
        <f t="shared" si="0"/>
        <v>MEDJEDOVIC</v>
      </c>
      <c r="G8" s="2">
        <f t="shared" si="1"/>
        <v>0</v>
      </c>
    </row>
    <row r="9" spans="1:11" x14ac:dyDescent="0.35">
      <c r="A9" t="s">
        <v>24</v>
      </c>
      <c r="B9" t="s">
        <v>25</v>
      </c>
      <c r="C9" s="3">
        <v>29</v>
      </c>
      <c r="D9" s="3">
        <v>71</v>
      </c>
      <c r="E9" t="s">
        <v>26</v>
      </c>
      <c r="F9" s="2" t="str">
        <f t="shared" si="0"/>
        <v>PAUL</v>
      </c>
      <c r="G9" s="2">
        <f t="shared" si="1"/>
        <v>1</v>
      </c>
    </row>
    <row r="10" spans="1:11" x14ac:dyDescent="0.35">
      <c r="A10" t="s">
        <v>27</v>
      </c>
      <c r="B10" t="s">
        <v>28</v>
      </c>
      <c r="C10" s="3">
        <v>72</v>
      </c>
      <c r="D10" s="3">
        <v>28</v>
      </c>
      <c r="E10" t="s">
        <v>29</v>
      </c>
      <c r="F10" s="2" t="str">
        <f t="shared" si="0"/>
        <v>SHELTON</v>
      </c>
      <c r="G10" s="2">
        <f t="shared" si="1"/>
        <v>1</v>
      </c>
    </row>
    <row r="11" spans="1:11" x14ac:dyDescent="0.35">
      <c r="A11" t="s">
        <v>30</v>
      </c>
      <c r="B11" t="s">
        <v>31</v>
      </c>
      <c r="C11" s="3">
        <v>47</v>
      </c>
      <c r="D11" s="3">
        <v>53</v>
      </c>
      <c r="E11" t="s">
        <v>32</v>
      </c>
      <c r="F11" s="2" t="str">
        <f t="shared" si="0"/>
        <v>GOFFIN</v>
      </c>
      <c r="G11" s="2">
        <f t="shared" si="1"/>
        <v>0</v>
      </c>
    </row>
    <row r="12" spans="1:11" x14ac:dyDescent="0.35">
      <c r="A12" t="s">
        <v>33</v>
      </c>
      <c r="B12" t="s">
        <v>34</v>
      </c>
      <c r="C12" s="3">
        <v>56</v>
      </c>
      <c r="D12" s="3">
        <v>44</v>
      </c>
      <c r="E12" t="s">
        <v>35</v>
      </c>
      <c r="F12" s="2" t="str">
        <f t="shared" si="0"/>
        <v>KOVACEVIC</v>
      </c>
      <c r="G12" s="2">
        <f t="shared" si="1"/>
        <v>0</v>
      </c>
    </row>
    <row r="13" spans="1:11" x14ac:dyDescent="0.35">
      <c r="A13" t="s">
        <v>36</v>
      </c>
      <c r="B13" t="s">
        <v>37</v>
      </c>
      <c r="C13" s="3">
        <v>47</v>
      </c>
      <c r="D13" s="3">
        <v>53</v>
      </c>
      <c r="E13" t="s">
        <v>38</v>
      </c>
      <c r="F13" s="2" t="str">
        <f t="shared" si="0"/>
        <v>HUMBERT</v>
      </c>
      <c r="G13" s="2">
        <f t="shared" si="1"/>
        <v>0</v>
      </c>
    </row>
    <row r="14" spans="1:11" x14ac:dyDescent="0.35">
      <c r="A14" t="s">
        <v>39</v>
      </c>
      <c r="B14" t="s">
        <v>40</v>
      </c>
      <c r="C14" s="3">
        <v>58</v>
      </c>
      <c r="D14" s="3">
        <v>42</v>
      </c>
      <c r="E14" t="s">
        <v>41</v>
      </c>
      <c r="F14" s="2" t="str">
        <f t="shared" si="0"/>
        <v>NAKASHIMA</v>
      </c>
      <c r="G14" s="2">
        <f t="shared" si="1"/>
        <v>1</v>
      </c>
    </row>
    <row r="15" spans="1:11" x14ac:dyDescent="0.35">
      <c r="A15" t="s">
        <v>42</v>
      </c>
      <c r="B15" t="s">
        <v>43</v>
      </c>
      <c r="C15" s="3">
        <v>40</v>
      </c>
      <c r="D15" s="3">
        <v>60</v>
      </c>
      <c r="E15" t="s">
        <v>44</v>
      </c>
      <c r="F15" s="2" t="str">
        <f t="shared" si="0"/>
        <v>OPELKA</v>
      </c>
      <c r="G15" s="2">
        <f t="shared" si="1"/>
        <v>1</v>
      </c>
    </row>
    <row r="16" spans="1:11" x14ac:dyDescent="0.35">
      <c r="A16" t="s">
        <v>45</v>
      </c>
      <c r="B16" t="s">
        <v>46</v>
      </c>
      <c r="C16" s="3">
        <v>39</v>
      </c>
      <c r="D16" s="3">
        <v>61</v>
      </c>
      <c r="E16" t="s">
        <v>47</v>
      </c>
      <c r="F16" s="2" t="str">
        <f t="shared" si="0"/>
        <v>SONEGO</v>
      </c>
      <c r="G16" s="2">
        <f t="shared" si="1"/>
        <v>1</v>
      </c>
    </row>
    <row r="17" spans="1:7" x14ac:dyDescent="0.35">
      <c r="A17" t="s">
        <v>48</v>
      </c>
      <c r="B17" t="s">
        <v>49</v>
      </c>
      <c r="C17" s="3">
        <v>16</v>
      </c>
      <c r="D17" s="3">
        <v>84</v>
      </c>
      <c r="E17" t="s">
        <v>50</v>
      </c>
      <c r="F17" s="2" t="str">
        <f t="shared" si="0"/>
        <v>MUSETTI</v>
      </c>
      <c r="G17" s="2">
        <f t="shared" si="1"/>
        <v>1</v>
      </c>
    </row>
    <row r="18" spans="1:7" x14ac:dyDescent="0.35">
      <c r="A18" t="s">
        <v>51</v>
      </c>
      <c r="B18" t="s">
        <v>52</v>
      </c>
      <c r="C18" s="3">
        <v>80</v>
      </c>
      <c r="D18" s="3">
        <v>20</v>
      </c>
      <c r="E18" t="s">
        <v>53</v>
      </c>
      <c r="F18" s="2" t="str">
        <f t="shared" si="0"/>
        <v>DRAPER</v>
      </c>
      <c r="G18" s="2">
        <f t="shared" si="1"/>
        <v>1</v>
      </c>
    </row>
    <row r="19" spans="1:7" x14ac:dyDescent="0.35">
      <c r="A19" t="s">
        <v>54</v>
      </c>
      <c r="B19" t="s">
        <v>55</v>
      </c>
      <c r="C19" s="3">
        <v>57</v>
      </c>
      <c r="D19" s="3">
        <v>43</v>
      </c>
      <c r="E19" t="s">
        <v>56</v>
      </c>
      <c r="F19" s="2" t="str">
        <f t="shared" si="0"/>
        <v>COLLIGNON</v>
      </c>
      <c r="G19" s="2">
        <f t="shared" si="1"/>
        <v>0</v>
      </c>
    </row>
    <row r="20" spans="1:7" x14ac:dyDescent="0.35">
      <c r="A20" t="s">
        <v>57</v>
      </c>
      <c r="B20" t="s">
        <v>58</v>
      </c>
      <c r="C20" s="3">
        <v>37</v>
      </c>
      <c r="D20" s="3">
        <v>63</v>
      </c>
      <c r="E20" t="s">
        <v>59</v>
      </c>
      <c r="F20" s="2" t="str">
        <f t="shared" si="0"/>
        <v>MAROZSAN</v>
      </c>
      <c r="G20" s="2">
        <f t="shared" si="1"/>
        <v>1</v>
      </c>
    </row>
    <row r="21" spans="1:7" x14ac:dyDescent="0.35">
      <c r="A21" t="s">
        <v>60</v>
      </c>
      <c r="B21" t="s">
        <v>61</v>
      </c>
      <c r="C21" s="3">
        <v>48</v>
      </c>
      <c r="D21" s="3">
        <v>52</v>
      </c>
      <c r="E21" t="s">
        <v>62</v>
      </c>
      <c r="F21" s="2" t="str">
        <f t="shared" si="0"/>
        <v>BUBLIK</v>
      </c>
      <c r="G21" s="2">
        <f t="shared" si="1"/>
        <v>0</v>
      </c>
    </row>
    <row r="22" spans="1:7" x14ac:dyDescent="0.35">
      <c r="A22" t="s">
        <v>63</v>
      </c>
      <c r="B22" t="s">
        <v>64</v>
      </c>
      <c r="C22" s="3">
        <v>69</v>
      </c>
      <c r="D22" s="3">
        <v>31</v>
      </c>
      <c r="E22" t="s">
        <v>65</v>
      </c>
      <c r="F22" s="2" t="str">
        <f t="shared" si="0"/>
        <v>COBOLLI</v>
      </c>
      <c r="G22" s="2">
        <f t="shared" si="1"/>
        <v>1</v>
      </c>
    </row>
    <row r="23" spans="1:7" x14ac:dyDescent="0.35">
      <c r="A23" t="s">
        <v>66</v>
      </c>
      <c r="B23" t="s">
        <v>67</v>
      </c>
      <c r="C23" s="3">
        <v>73</v>
      </c>
      <c r="D23" s="3">
        <v>27</v>
      </c>
      <c r="E23" t="s">
        <v>68</v>
      </c>
      <c r="F23" s="2" t="str">
        <f t="shared" si="0"/>
        <v>ETCHEVERRY</v>
      </c>
      <c r="G23" s="2">
        <f t="shared" si="1"/>
        <v>0</v>
      </c>
    </row>
    <row r="24" spans="1:7" x14ac:dyDescent="0.35">
      <c r="A24" t="s">
        <v>69</v>
      </c>
      <c r="B24" t="s">
        <v>70</v>
      </c>
      <c r="C24" s="3">
        <v>53</v>
      </c>
      <c r="D24" s="3">
        <v>47</v>
      </c>
      <c r="E24" t="s">
        <v>71</v>
      </c>
      <c r="F24" s="2" t="str">
        <f t="shared" si="0"/>
        <v>GIRON</v>
      </c>
      <c r="G24" s="2">
        <f t="shared" si="1"/>
        <v>1</v>
      </c>
    </row>
    <row r="25" spans="1:7" x14ac:dyDescent="0.35">
      <c r="A25" t="s">
        <v>72</v>
      </c>
      <c r="B25" t="s">
        <v>73</v>
      </c>
      <c r="C25" s="3">
        <v>35</v>
      </c>
      <c r="D25" s="3">
        <v>65</v>
      </c>
      <c r="E25" t="s">
        <v>74</v>
      </c>
      <c r="F25" s="2" t="str">
        <f t="shared" si="0"/>
        <v>MENSIK</v>
      </c>
      <c r="G25" s="2">
        <f t="shared" si="1"/>
        <v>1</v>
      </c>
    </row>
    <row r="26" spans="1:7" x14ac:dyDescent="0.35">
      <c r="A26" t="s">
        <v>75</v>
      </c>
      <c r="B26" t="s">
        <v>76</v>
      </c>
      <c r="C26" s="3">
        <v>65</v>
      </c>
      <c r="D26" s="3">
        <v>35</v>
      </c>
      <c r="E26" t="s">
        <v>77</v>
      </c>
      <c r="F26" s="2" t="str">
        <f t="shared" si="0"/>
        <v>DE MINAUR</v>
      </c>
      <c r="G26" s="2">
        <f t="shared" si="1"/>
        <v>1</v>
      </c>
    </row>
    <row r="27" spans="1:7" x14ac:dyDescent="0.35">
      <c r="A27" t="s">
        <v>78</v>
      </c>
      <c r="B27" t="s">
        <v>79</v>
      </c>
      <c r="C27" s="3">
        <v>54</v>
      </c>
      <c r="D27" s="3">
        <v>46</v>
      </c>
      <c r="E27" t="s">
        <v>80</v>
      </c>
      <c r="F27" s="2" t="str">
        <f t="shared" si="0"/>
        <v>CAZAUX</v>
      </c>
      <c r="G27" s="2">
        <f t="shared" si="1"/>
        <v>1</v>
      </c>
    </row>
    <row r="28" spans="1:7" x14ac:dyDescent="0.35">
      <c r="A28" t="s">
        <v>81</v>
      </c>
      <c r="B28" t="s">
        <v>82</v>
      </c>
      <c r="C28" s="3">
        <v>69</v>
      </c>
      <c r="D28" s="3">
        <v>31</v>
      </c>
      <c r="E28" t="s">
        <v>83</v>
      </c>
      <c r="F28" s="2" t="str">
        <f t="shared" si="0"/>
        <v>HALYS</v>
      </c>
      <c r="G28" s="2">
        <f t="shared" si="1"/>
        <v>0</v>
      </c>
    </row>
    <row r="29" spans="1:7" x14ac:dyDescent="0.35">
      <c r="A29" t="s">
        <v>84</v>
      </c>
      <c r="B29" t="s">
        <v>85</v>
      </c>
      <c r="C29" s="3">
        <v>37</v>
      </c>
      <c r="D29" s="3">
        <v>63</v>
      </c>
      <c r="E29" t="s">
        <v>86</v>
      </c>
      <c r="F29" s="2" t="str">
        <f t="shared" si="0"/>
        <v>MACHAC</v>
      </c>
      <c r="G29" s="2">
        <f t="shared" si="1"/>
        <v>1</v>
      </c>
    </row>
    <row r="30" spans="1:7" x14ac:dyDescent="0.35">
      <c r="A30" t="s">
        <v>87</v>
      </c>
      <c r="B30" t="s">
        <v>88</v>
      </c>
      <c r="C30" s="3">
        <v>51</v>
      </c>
      <c r="D30" s="3">
        <v>49</v>
      </c>
      <c r="E30" t="s">
        <v>89</v>
      </c>
      <c r="F30" s="2" t="str">
        <f t="shared" si="0"/>
        <v>MICHELSEN</v>
      </c>
      <c r="G30" s="2">
        <f t="shared" si="1"/>
        <v>0</v>
      </c>
    </row>
    <row r="31" spans="1:7" x14ac:dyDescent="0.35">
      <c r="A31" t="s">
        <v>90</v>
      </c>
      <c r="B31" t="s">
        <v>91</v>
      </c>
      <c r="C31" s="3">
        <v>48</v>
      </c>
      <c r="D31" s="3">
        <v>52</v>
      </c>
      <c r="E31" t="s">
        <v>92</v>
      </c>
      <c r="F31" s="2" t="str">
        <f t="shared" si="0"/>
        <v>EUBANKS</v>
      </c>
      <c r="G31" s="2">
        <f t="shared" si="1"/>
        <v>0</v>
      </c>
    </row>
    <row r="32" spans="1:7" x14ac:dyDescent="0.35">
      <c r="A32" t="s">
        <v>93</v>
      </c>
      <c r="B32" t="s">
        <v>94</v>
      </c>
      <c r="C32" s="3">
        <v>52</v>
      </c>
      <c r="D32" s="3">
        <v>48</v>
      </c>
      <c r="E32" t="s">
        <v>95</v>
      </c>
      <c r="F32" s="2" t="str">
        <f t="shared" si="0"/>
        <v>EVANS</v>
      </c>
      <c r="G32" s="2">
        <f t="shared" si="1"/>
        <v>1</v>
      </c>
    </row>
    <row r="33" spans="1:7" x14ac:dyDescent="0.35">
      <c r="A33" t="s">
        <v>96</v>
      </c>
      <c r="B33" t="s">
        <v>97</v>
      </c>
      <c r="C33" s="3">
        <v>30</v>
      </c>
      <c r="D33" s="3">
        <v>70</v>
      </c>
      <c r="E33" t="s">
        <v>98</v>
      </c>
      <c r="F33" s="2" t="str">
        <f t="shared" si="0"/>
        <v>DJOKOVIC</v>
      </c>
      <c r="G33" s="2">
        <f t="shared" si="1"/>
        <v>1</v>
      </c>
    </row>
    <row r="34" spans="1:7" x14ac:dyDescent="0.35">
      <c r="A34" t="s">
        <v>99</v>
      </c>
      <c r="B34" t="s">
        <v>100</v>
      </c>
      <c r="C34" s="3">
        <v>51</v>
      </c>
      <c r="D34" s="3">
        <v>49</v>
      </c>
      <c r="E34" t="s">
        <v>101</v>
      </c>
      <c r="F34" s="2" t="str">
        <f t="shared" si="0"/>
        <v>FRITZ</v>
      </c>
      <c r="G34" s="2">
        <f t="shared" si="1"/>
        <v>1</v>
      </c>
    </row>
    <row r="35" spans="1:7" x14ac:dyDescent="0.35">
      <c r="A35" t="s">
        <v>102</v>
      </c>
      <c r="B35" t="s">
        <v>103</v>
      </c>
      <c r="C35" s="3">
        <v>46</v>
      </c>
      <c r="D35" s="3">
        <v>54</v>
      </c>
      <c r="E35" t="s">
        <v>104</v>
      </c>
      <c r="F35" s="2" t="str">
        <f t="shared" si="0"/>
        <v>ALTMAIER</v>
      </c>
      <c r="G35" s="2">
        <f t="shared" si="1"/>
        <v>0</v>
      </c>
    </row>
    <row r="36" spans="1:7" x14ac:dyDescent="0.35">
      <c r="A36" t="s">
        <v>105</v>
      </c>
      <c r="B36" t="s">
        <v>106</v>
      </c>
      <c r="C36" s="3">
        <v>60</v>
      </c>
      <c r="D36" s="3">
        <v>40</v>
      </c>
      <c r="E36" t="s">
        <v>107</v>
      </c>
      <c r="F36" s="2" t="str">
        <f t="shared" si="0"/>
        <v>ARNALDI</v>
      </c>
      <c r="G36" s="2">
        <f t="shared" si="1"/>
        <v>0</v>
      </c>
    </row>
    <row r="37" spans="1:7" x14ac:dyDescent="0.35">
      <c r="A37" t="s">
        <v>108</v>
      </c>
      <c r="B37" t="s">
        <v>109</v>
      </c>
      <c r="C37" s="3">
        <v>34</v>
      </c>
      <c r="D37" s="3">
        <v>66</v>
      </c>
      <c r="E37" t="s">
        <v>110</v>
      </c>
      <c r="F37" s="2" t="str">
        <f t="shared" si="0"/>
        <v>DAVIDOVICH FOKINA</v>
      </c>
      <c r="G37" s="2">
        <f t="shared" si="1"/>
        <v>1</v>
      </c>
    </row>
    <row r="38" spans="1:7" x14ac:dyDescent="0.35">
      <c r="A38" t="s">
        <v>111</v>
      </c>
      <c r="B38" t="s">
        <v>112</v>
      </c>
      <c r="C38" s="3">
        <v>76</v>
      </c>
      <c r="D38" s="3">
        <v>24</v>
      </c>
      <c r="E38" t="s">
        <v>113</v>
      </c>
      <c r="F38" s="2" t="str">
        <f t="shared" si="0"/>
        <v>POPYRIN</v>
      </c>
      <c r="G38" s="2">
        <f t="shared" si="1"/>
        <v>0</v>
      </c>
    </row>
    <row r="39" spans="1:7" x14ac:dyDescent="0.35">
      <c r="A39" t="s">
        <v>114</v>
      </c>
      <c r="B39" t="s">
        <v>115</v>
      </c>
      <c r="C39" s="3">
        <v>56</v>
      </c>
      <c r="D39" s="3">
        <v>44</v>
      </c>
      <c r="E39" t="s">
        <v>116</v>
      </c>
      <c r="F39" s="2" t="str">
        <f t="shared" si="0"/>
        <v>DARDERI</v>
      </c>
      <c r="G39" s="2">
        <f t="shared" si="1"/>
        <v>1</v>
      </c>
    </row>
    <row r="40" spans="1:7" x14ac:dyDescent="0.35">
      <c r="A40" t="s">
        <v>117</v>
      </c>
      <c r="B40" t="s">
        <v>118</v>
      </c>
      <c r="C40" s="3">
        <v>48</v>
      </c>
      <c r="D40" s="3">
        <v>52</v>
      </c>
      <c r="E40" t="s">
        <v>119</v>
      </c>
      <c r="F40" s="2" t="str">
        <f t="shared" si="0"/>
        <v>THOMPSON</v>
      </c>
      <c r="G40" s="2">
        <f t="shared" si="1"/>
        <v>1</v>
      </c>
    </row>
    <row r="41" spans="1:7" x14ac:dyDescent="0.35">
      <c r="A41" t="s">
        <v>120</v>
      </c>
      <c r="B41" t="s">
        <v>121</v>
      </c>
      <c r="C41" s="3">
        <v>24</v>
      </c>
      <c r="D41" s="3">
        <v>76</v>
      </c>
      <c r="E41" t="s">
        <v>122</v>
      </c>
      <c r="F41" s="2" t="str">
        <f t="shared" si="0"/>
        <v>MEDVEDEV</v>
      </c>
      <c r="G41" s="2">
        <f t="shared" si="1"/>
        <v>0</v>
      </c>
    </row>
    <row r="42" spans="1:7" x14ac:dyDescent="0.35">
      <c r="A42" t="s">
        <v>123</v>
      </c>
      <c r="B42" t="s">
        <v>124</v>
      </c>
      <c r="C42" s="3">
        <v>58</v>
      </c>
      <c r="D42" s="3">
        <v>42</v>
      </c>
      <c r="E42" t="s">
        <v>125</v>
      </c>
      <c r="F42" s="2" t="str">
        <f t="shared" si="0"/>
        <v>CERUNDOLO</v>
      </c>
      <c r="G42" s="2">
        <f t="shared" si="1"/>
        <v>0</v>
      </c>
    </row>
    <row r="43" spans="1:7" x14ac:dyDescent="0.35">
      <c r="A43" t="s">
        <v>126</v>
      </c>
      <c r="B43" t="s">
        <v>127</v>
      </c>
      <c r="C43" s="3">
        <v>51</v>
      </c>
      <c r="D43" s="3">
        <v>49</v>
      </c>
      <c r="E43" t="s">
        <v>128</v>
      </c>
      <c r="F43" s="2" t="str">
        <f t="shared" si="0"/>
        <v>HARRIS</v>
      </c>
      <c r="G43" s="2">
        <f t="shared" si="1"/>
        <v>1</v>
      </c>
    </row>
    <row r="44" spans="1:7" x14ac:dyDescent="0.35">
      <c r="A44" t="s">
        <v>129</v>
      </c>
      <c r="B44" t="s">
        <v>130</v>
      </c>
      <c r="C44" s="3">
        <v>69</v>
      </c>
      <c r="D44" s="3">
        <v>31</v>
      </c>
      <c r="E44" t="s">
        <v>131</v>
      </c>
      <c r="F44" s="2" t="str">
        <f t="shared" si="0"/>
        <v>MOCHIZUKI</v>
      </c>
      <c r="G44" s="2">
        <f t="shared" si="1"/>
        <v>1</v>
      </c>
    </row>
    <row r="45" spans="1:7" x14ac:dyDescent="0.35">
      <c r="A45" t="s">
        <v>132</v>
      </c>
      <c r="B45" t="s">
        <v>133</v>
      </c>
      <c r="C45" s="3">
        <v>35</v>
      </c>
      <c r="D45" s="3">
        <v>65</v>
      </c>
      <c r="E45" t="s">
        <v>134</v>
      </c>
      <c r="F45" s="2" t="str">
        <f t="shared" si="0"/>
        <v>KHACHANOV</v>
      </c>
      <c r="G45" s="2">
        <f t="shared" si="1"/>
        <v>1</v>
      </c>
    </row>
    <row r="46" spans="1:7" x14ac:dyDescent="0.35">
      <c r="A46" t="s">
        <v>135</v>
      </c>
      <c r="B46" t="s">
        <v>136</v>
      </c>
      <c r="C46" s="3">
        <v>64</v>
      </c>
      <c r="D46" s="3">
        <v>36</v>
      </c>
      <c r="E46" t="s">
        <v>137</v>
      </c>
      <c r="F46" s="2" t="str">
        <f t="shared" si="0"/>
        <v>BERRETTINI</v>
      </c>
      <c r="G46" s="2">
        <f t="shared" si="1"/>
        <v>0</v>
      </c>
    </row>
    <row r="47" spans="1:7" x14ac:dyDescent="0.35">
      <c r="A47" t="s">
        <v>138</v>
      </c>
      <c r="B47" t="s">
        <v>139</v>
      </c>
      <c r="C47" s="3">
        <v>75</v>
      </c>
      <c r="D47" s="3">
        <v>25</v>
      </c>
      <c r="E47" t="s">
        <v>140</v>
      </c>
      <c r="F47" s="2" t="str">
        <f t="shared" si="0"/>
        <v>QUINN</v>
      </c>
      <c r="G47" s="2">
        <f t="shared" si="1"/>
        <v>1</v>
      </c>
    </row>
    <row r="48" spans="1:7" x14ac:dyDescent="0.35">
      <c r="A48" t="s">
        <v>141</v>
      </c>
      <c r="B48" t="s">
        <v>142</v>
      </c>
      <c r="C48" s="3">
        <v>48</v>
      </c>
      <c r="D48" s="3">
        <v>52</v>
      </c>
      <c r="E48" t="s">
        <v>143</v>
      </c>
      <c r="F48" s="2" t="str">
        <f t="shared" si="0"/>
        <v>RODESCH</v>
      </c>
      <c r="G48" s="2">
        <f t="shared" si="1"/>
        <v>0</v>
      </c>
    </row>
    <row r="49" spans="1:7" x14ac:dyDescent="0.35">
      <c r="A49" t="s">
        <v>144</v>
      </c>
      <c r="B49" t="s">
        <v>145</v>
      </c>
      <c r="C49" s="3">
        <v>23</v>
      </c>
      <c r="D49" s="3">
        <v>77</v>
      </c>
      <c r="E49" t="s">
        <v>146</v>
      </c>
      <c r="F49" s="2" t="str">
        <f t="shared" si="0"/>
        <v>ZVEREV</v>
      </c>
      <c r="G49" s="2">
        <f t="shared" si="1"/>
        <v>0</v>
      </c>
    </row>
    <row r="50" spans="1:7" x14ac:dyDescent="0.35">
      <c r="A50" t="s">
        <v>147</v>
      </c>
      <c r="B50" t="s">
        <v>148</v>
      </c>
      <c r="C50" s="3">
        <v>87</v>
      </c>
      <c r="D50" s="3">
        <v>13</v>
      </c>
      <c r="E50" t="s">
        <v>149</v>
      </c>
      <c r="F50" s="2" t="str">
        <f t="shared" si="0"/>
        <v>RUNE</v>
      </c>
      <c r="G50" s="2">
        <f t="shared" si="1"/>
        <v>0</v>
      </c>
    </row>
    <row r="51" spans="1:7" x14ac:dyDescent="0.35">
      <c r="A51" t="s">
        <v>150</v>
      </c>
      <c r="B51" t="s">
        <v>151</v>
      </c>
      <c r="C51" s="3">
        <v>60</v>
      </c>
      <c r="D51" s="3">
        <v>40</v>
      </c>
      <c r="E51" t="s">
        <v>152</v>
      </c>
      <c r="F51" s="2" t="str">
        <f t="shared" si="0"/>
        <v>TIEN</v>
      </c>
      <c r="G51" s="2">
        <f t="shared" si="1"/>
        <v>1</v>
      </c>
    </row>
    <row r="52" spans="1:7" x14ac:dyDescent="0.35">
      <c r="A52" t="s">
        <v>153</v>
      </c>
      <c r="B52" t="s">
        <v>154</v>
      </c>
      <c r="C52" s="3">
        <v>37</v>
      </c>
      <c r="D52" s="3">
        <v>63</v>
      </c>
      <c r="E52" t="s">
        <v>155</v>
      </c>
      <c r="F52" s="2" t="str">
        <f t="shared" si="0"/>
        <v>FONSECA</v>
      </c>
      <c r="G52" s="2">
        <f t="shared" si="1"/>
        <v>1</v>
      </c>
    </row>
    <row r="53" spans="1:7" x14ac:dyDescent="0.35">
      <c r="A53" t="s">
        <v>156</v>
      </c>
      <c r="B53" t="s">
        <v>157</v>
      </c>
      <c r="C53" s="3">
        <v>35</v>
      </c>
      <c r="D53" s="3">
        <v>65</v>
      </c>
      <c r="E53" t="s">
        <v>158</v>
      </c>
      <c r="F53" s="2" t="str">
        <f t="shared" si="0"/>
        <v>GRIEKSPOOR</v>
      </c>
      <c r="G53" s="2">
        <f t="shared" si="1"/>
        <v>0</v>
      </c>
    </row>
    <row r="54" spans="1:7" x14ac:dyDescent="0.35">
      <c r="A54" t="s">
        <v>159</v>
      </c>
      <c r="B54" t="s">
        <v>160</v>
      </c>
      <c r="C54" s="3">
        <v>59</v>
      </c>
      <c r="D54" s="3">
        <v>41</v>
      </c>
      <c r="E54" t="s">
        <v>161</v>
      </c>
      <c r="F54" s="2" t="str">
        <f t="shared" si="0"/>
        <v>LEHECKA</v>
      </c>
      <c r="G54" s="2">
        <f t="shared" si="1"/>
        <v>1</v>
      </c>
    </row>
    <row r="55" spans="1:7" x14ac:dyDescent="0.35">
      <c r="A55" t="s">
        <v>162</v>
      </c>
      <c r="B55" t="s">
        <v>163</v>
      </c>
      <c r="C55" s="3">
        <v>71</v>
      </c>
      <c r="D55" s="3">
        <v>29</v>
      </c>
      <c r="E55" t="s">
        <v>164</v>
      </c>
      <c r="F55" s="2" t="str">
        <f t="shared" si="0"/>
        <v>BELLUCCI</v>
      </c>
      <c r="G55" s="2">
        <f t="shared" si="1"/>
        <v>1</v>
      </c>
    </row>
    <row r="56" spans="1:7" x14ac:dyDescent="0.35">
      <c r="A56" t="s">
        <v>165</v>
      </c>
      <c r="B56" t="s">
        <v>166</v>
      </c>
      <c r="C56" s="3">
        <v>54</v>
      </c>
      <c r="D56" s="3">
        <v>46</v>
      </c>
      <c r="E56" t="s">
        <v>167</v>
      </c>
      <c r="F56" s="2" t="str">
        <f t="shared" si="0"/>
        <v>NORRIE</v>
      </c>
      <c r="G56" s="2">
        <f t="shared" si="1"/>
        <v>1</v>
      </c>
    </row>
    <row r="57" spans="1:7" x14ac:dyDescent="0.35">
      <c r="A57" t="s">
        <v>168</v>
      </c>
      <c r="B57" t="s">
        <v>169</v>
      </c>
      <c r="C57" s="3">
        <v>31</v>
      </c>
      <c r="D57" s="3">
        <v>69</v>
      </c>
      <c r="E57" t="s">
        <v>170</v>
      </c>
      <c r="F57" s="2" t="str">
        <f t="shared" si="0"/>
        <v>TIAFOE</v>
      </c>
      <c r="G57" s="2">
        <f t="shared" si="1"/>
        <v>1</v>
      </c>
    </row>
    <row r="58" spans="1:7" x14ac:dyDescent="0.35">
      <c r="A58" t="s">
        <v>171</v>
      </c>
      <c r="B58" t="s">
        <v>172</v>
      </c>
      <c r="C58" s="3">
        <v>62</v>
      </c>
      <c r="D58" s="3">
        <v>38</v>
      </c>
      <c r="E58" t="s">
        <v>173</v>
      </c>
      <c r="F58" s="2" t="str">
        <f t="shared" si="0"/>
        <v>RUBLEV</v>
      </c>
      <c r="G58" s="2">
        <f t="shared" si="1"/>
        <v>1</v>
      </c>
    </row>
    <row r="59" spans="1:7" x14ac:dyDescent="0.35">
      <c r="A59" t="s">
        <v>174</v>
      </c>
      <c r="B59" t="s">
        <v>175</v>
      </c>
      <c r="C59" s="3">
        <v>73</v>
      </c>
      <c r="D59" s="3">
        <v>27</v>
      </c>
      <c r="E59" t="s">
        <v>128</v>
      </c>
      <c r="F59" s="2" t="str">
        <f t="shared" si="0"/>
        <v>BERGS</v>
      </c>
      <c r="G59" s="2">
        <f t="shared" si="1"/>
        <v>0</v>
      </c>
    </row>
    <row r="60" spans="1:7" x14ac:dyDescent="0.35">
      <c r="A60" t="s">
        <v>176</v>
      </c>
      <c r="B60" t="s">
        <v>177</v>
      </c>
      <c r="C60" s="3">
        <v>42</v>
      </c>
      <c r="D60" s="3">
        <v>58</v>
      </c>
      <c r="E60" t="s">
        <v>178</v>
      </c>
      <c r="F60" s="2" t="str">
        <f t="shared" si="0"/>
        <v>O'CONNELL</v>
      </c>
      <c r="G60" s="2">
        <f t="shared" si="1"/>
        <v>0</v>
      </c>
    </row>
    <row r="61" spans="1:7" x14ac:dyDescent="0.35">
      <c r="A61" t="s">
        <v>179</v>
      </c>
      <c r="B61" t="s">
        <v>180</v>
      </c>
      <c r="C61" s="3">
        <v>38</v>
      </c>
      <c r="D61" s="3">
        <v>62</v>
      </c>
      <c r="E61" t="s">
        <v>181</v>
      </c>
      <c r="F61" s="2" t="str">
        <f t="shared" si="0"/>
        <v>TSITSIPAS</v>
      </c>
      <c r="G61" s="2">
        <f t="shared" si="1"/>
        <v>0</v>
      </c>
    </row>
    <row r="62" spans="1:7" x14ac:dyDescent="0.35">
      <c r="A62" t="s">
        <v>182</v>
      </c>
      <c r="B62" t="s">
        <v>183</v>
      </c>
      <c r="C62" s="3">
        <v>69</v>
      </c>
      <c r="D62" s="3">
        <v>31</v>
      </c>
      <c r="E62" t="s">
        <v>184</v>
      </c>
      <c r="F62" s="2" t="str">
        <f t="shared" si="0"/>
        <v>AUGER-ALIASSIME</v>
      </c>
      <c r="G62" s="2">
        <f t="shared" si="1"/>
        <v>1</v>
      </c>
    </row>
    <row r="63" spans="1:7" x14ac:dyDescent="0.35">
      <c r="A63" t="s">
        <v>185</v>
      </c>
      <c r="B63" t="s">
        <v>186</v>
      </c>
      <c r="C63" s="3">
        <v>42</v>
      </c>
      <c r="D63" s="3">
        <v>58</v>
      </c>
      <c r="E63" t="s">
        <v>187</v>
      </c>
      <c r="F63" s="2" t="str">
        <f t="shared" si="0"/>
        <v>MISOLIC</v>
      </c>
      <c r="G63" s="2">
        <f t="shared" si="1"/>
        <v>0</v>
      </c>
    </row>
    <row r="64" spans="1:7" x14ac:dyDescent="0.35">
      <c r="A64" t="s">
        <v>188</v>
      </c>
      <c r="B64" t="s">
        <v>189</v>
      </c>
      <c r="C64" s="3">
        <v>46</v>
      </c>
      <c r="D64" s="3">
        <v>54</v>
      </c>
      <c r="E64" t="s">
        <v>190</v>
      </c>
      <c r="F64" s="2" t="str">
        <f t="shared" si="0"/>
        <v>RIEDI</v>
      </c>
      <c r="G64" s="2">
        <f t="shared" si="1"/>
        <v>0</v>
      </c>
    </row>
    <row r="65" spans="1:7" x14ac:dyDescent="0.35">
      <c r="A65" t="s">
        <v>191</v>
      </c>
      <c r="B65" t="s">
        <v>192</v>
      </c>
      <c r="C65" s="3">
        <v>13</v>
      </c>
      <c r="D65" s="3">
        <v>87</v>
      </c>
      <c r="E65" t="s">
        <v>193</v>
      </c>
      <c r="F65" s="2" t="str">
        <f t="shared" si="0"/>
        <v>ALCARAZ</v>
      </c>
      <c r="G65" s="2">
        <f t="shared" si="1"/>
        <v>1</v>
      </c>
    </row>
  </sheetData>
  <autoFilter ref="A1:G65" xr:uid="{733616C7-25F8-4522-B3D0-0114E321248B}"/>
  <conditionalFormatting sqref="G1:G1048576">
    <cfRule type="cellIs" dxfId="10" priority="1" operator="equal">
      <formula>0</formula>
    </cfRule>
    <cfRule type="cellIs" dxfId="9" priority="2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8E2B-B98F-49D5-BB7C-817B60D20F6A}">
  <dimension ref="A1:K33"/>
  <sheetViews>
    <sheetView workbookViewId="0">
      <pane ySplit="1" topLeftCell="A2" activePane="bottomLeft" state="frozen"/>
      <selection pane="bottomLeft" activeCell="J4" sqref="J4:K5"/>
    </sheetView>
  </sheetViews>
  <sheetFormatPr defaultRowHeight="14.5" x14ac:dyDescent="0.35"/>
  <cols>
    <col min="1" max="1" width="24" bestFit="1" customWidth="1"/>
    <col min="2" max="2" width="26.90625" bestFit="1" customWidth="1"/>
    <col min="3" max="4" width="13" bestFit="1" customWidth="1"/>
    <col min="5" max="6" width="18.1796875" bestFit="1" customWidth="1"/>
    <col min="10" max="10" width="1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</row>
    <row r="2" spans="1:11" x14ac:dyDescent="0.35">
      <c r="A2" t="s">
        <v>182</v>
      </c>
      <c r="B2" t="s">
        <v>185</v>
      </c>
      <c r="C2">
        <v>72</v>
      </c>
      <c r="D2">
        <v>28</v>
      </c>
      <c r="E2" t="s">
        <v>187</v>
      </c>
      <c r="F2" t="str">
        <f>LEFT(IF(C2&gt;D2, A2, B2), FIND(",", IF(C2&gt;D2, A2, B2)) - 1)</f>
        <v>AUGER-ALIASSIME</v>
      </c>
      <c r="G2">
        <f>IF(F2=E2, 1, 0)</f>
        <v>0</v>
      </c>
    </row>
    <row r="3" spans="1:11" ht="15" thickBot="1" x14ac:dyDescent="0.4">
      <c r="A3" t="s">
        <v>124</v>
      </c>
      <c r="B3" t="s">
        <v>126</v>
      </c>
      <c r="C3">
        <v>66</v>
      </c>
      <c r="D3">
        <v>34</v>
      </c>
      <c r="E3" t="s">
        <v>125</v>
      </c>
      <c r="F3" s="2" t="str">
        <f>LEFT(IF(C3&gt;D3, A3, B3), FIND(",", IF(C3&gt;D3, A3, B3)) - 1)</f>
        <v>BORGES</v>
      </c>
      <c r="G3" s="2">
        <f>IF(F3=E3, 1, 0)</f>
        <v>1</v>
      </c>
    </row>
    <row r="4" spans="1:11" x14ac:dyDescent="0.35">
      <c r="A4" t="s">
        <v>63</v>
      </c>
      <c r="B4" t="s">
        <v>67</v>
      </c>
      <c r="C4">
        <v>75</v>
      </c>
      <c r="D4">
        <v>25</v>
      </c>
      <c r="E4" t="s">
        <v>65</v>
      </c>
      <c r="F4" s="2" t="str">
        <f>LEFT(IF(C4&gt;D4, A4, B4), FIND(",", IF(C4&gt;D4, A4, B4)) - 1)</f>
        <v>COBOLLI</v>
      </c>
      <c r="G4" s="2">
        <f>IF(F4=E4, 1, 0)</f>
        <v>1</v>
      </c>
      <c r="J4" s="4" t="s">
        <v>199</v>
      </c>
      <c r="K4" s="5">
        <v>22</v>
      </c>
    </row>
    <row r="5" spans="1:11" ht="15" thickBot="1" x14ac:dyDescent="0.4">
      <c r="A5" t="s">
        <v>75</v>
      </c>
      <c r="B5" t="s">
        <v>78</v>
      </c>
      <c r="C5">
        <v>68</v>
      </c>
      <c r="D5">
        <v>32</v>
      </c>
      <c r="E5" t="s">
        <v>77</v>
      </c>
      <c r="F5" s="2" t="str">
        <f>LEFT(IF(C5&gt;D5, A5, B5), FIND(",", IF(C5&gt;D5, A5, B5)) - 1)</f>
        <v>DE MINAUR</v>
      </c>
      <c r="G5" s="2">
        <f>IF(F5=E5, 1, 0)</f>
        <v>1</v>
      </c>
      <c r="J5" s="6" t="s">
        <v>200</v>
      </c>
      <c r="K5" s="7">
        <f>22/32</f>
        <v>0.6875</v>
      </c>
    </row>
    <row r="6" spans="1:11" x14ac:dyDescent="0.35">
      <c r="A6" t="s">
        <v>15</v>
      </c>
      <c r="B6" t="s">
        <v>19</v>
      </c>
      <c r="C6">
        <v>53</v>
      </c>
      <c r="D6">
        <v>47</v>
      </c>
      <c r="E6" t="s">
        <v>17</v>
      </c>
      <c r="F6" s="2" t="str">
        <f>LEFT(IF(C6&gt;D6, A6, B6), FIND(",", IF(C6&gt;D6, A6, B6)) - 1)</f>
        <v>DIMITROV</v>
      </c>
      <c r="G6" s="2">
        <f>IF(F6=E6, 1, 0)</f>
        <v>1</v>
      </c>
    </row>
    <row r="7" spans="1:11" x14ac:dyDescent="0.35">
      <c r="A7" t="s">
        <v>51</v>
      </c>
      <c r="B7" t="s">
        <v>55</v>
      </c>
      <c r="C7">
        <v>85</v>
      </c>
      <c r="D7">
        <v>15</v>
      </c>
      <c r="E7" t="s">
        <v>56</v>
      </c>
      <c r="F7" s="2" t="str">
        <f>LEFT(IF(C7&gt;D7, A7, B7), FIND(",", IF(C7&gt;D7, A7, B7)) - 1)</f>
        <v>DRAPER</v>
      </c>
      <c r="G7" s="2">
        <f>IF(F7=E7, 1, 0)</f>
        <v>0</v>
      </c>
    </row>
    <row r="8" spans="1:11" x14ac:dyDescent="0.35">
      <c r="A8" t="s">
        <v>93</v>
      </c>
      <c r="B8" t="s">
        <v>97</v>
      </c>
      <c r="C8">
        <v>13</v>
      </c>
      <c r="D8">
        <v>87</v>
      </c>
      <c r="E8" t="s">
        <v>98</v>
      </c>
      <c r="F8" s="2" t="str">
        <f>LEFT(IF(C8&gt;D8, A8, B8), FIND(",", IF(C8&gt;D8, A8, B8)) - 1)</f>
        <v>DJOKOVIC</v>
      </c>
      <c r="G8" s="2">
        <f>IF(F8=E8, 1, 0)</f>
        <v>1</v>
      </c>
    </row>
    <row r="9" spans="1:11" x14ac:dyDescent="0.35">
      <c r="A9" t="s">
        <v>112</v>
      </c>
      <c r="B9" t="s">
        <v>114</v>
      </c>
      <c r="C9">
        <v>24</v>
      </c>
      <c r="D9">
        <v>76</v>
      </c>
      <c r="E9" t="s">
        <v>116</v>
      </c>
      <c r="F9" s="2" t="str">
        <f>LEFT(IF(C9&gt;D9, A9, B9), FIND(",", IF(C9&gt;D9, A9, B9)) - 1)</f>
        <v>DARDERI</v>
      </c>
      <c r="G9" s="2">
        <f>IF(F9=E9, 1, 0)</f>
        <v>1</v>
      </c>
    </row>
    <row r="10" spans="1:11" x14ac:dyDescent="0.35">
      <c r="A10" t="s">
        <v>154</v>
      </c>
      <c r="B10" t="s">
        <v>156</v>
      </c>
      <c r="C10">
        <v>63</v>
      </c>
      <c r="D10">
        <v>37</v>
      </c>
      <c r="E10" t="s">
        <v>155</v>
      </c>
      <c r="F10" s="2" t="str">
        <f>LEFT(IF(C10&gt;D10, A10, B10), FIND(",", IF(C10&gt;D10, A10, B10)) - 1)</f>
        <v>FONSECA</v>
      </c>
      <c r="G10" s="2">
        <f>IF(F10=E10, 1, 0)</f>
        <v>1</v>
      </c>
    </row>
    <row r="11" spans="1:11" x14ac:dyDescent="0.35">
      <c r="A11" t="s">
        <v>99</v>
      </c>
      <c r="B11" t="s">
        <v>102</v>
      </c>
      <c r="C11">
        <v>72</v>
      </c>
      <c r="D11">
        <v>28</v>
      </c>
      <c r="E11" t="s">
        <v>101</v>
      </c>
      <c r="F11" s="2" t="str">
        <f>LEFT(IF(C11&gt;D11, A11, B11), FIND(",", IF(C11&gt;D11, A11, B11)) - 1)</f>
        <v>FRITZ</v>
      </c>
      <c r="G11" s="2">
        <f>IF(F11=E11, 1, 0)</f>
        <v>1</v>
      </c>
    </row>
    <row r="12" spans="1:11" x14ac:dyDescent="0.35">
      <c r="A12" t="s">
        <v>34</v>
      </c>
      <c r="B12" t="s">
        <v>36</v>
      </c>
      <c r="C12">
        <v>37</v>
      </c>
      <c r="D12">
        <v>63</v>
      </c>
      <c r="E12" t="s">
        <v>35</v>
      </c>
      <c r="F12" s="2" t="str">
        <f>LEFT(IF(C12&gt;D12, A12, B12), FIND(",", IF(C12&gt;D12, A12, B12)) - 1)</f>
        <v>MONFILS</v>
      </c>
      <c r="G12" s="2">
        <f>IF(F12=E12, 1, 0)</f>
        <v>0</v>
      </c>
    </row>
    <row r="13" spans="1:11" x14ac:dyDescent="0.35">
      <c r="A13" t="s">
        <v>141</v>
      </c>
      <c r="B13" t="s">
        <v>144</v>
      </c>
      <c r="C13">
        <v>47</v>
      </c>
      <c r="D13">
        <v>53</v>
      </c>
      <c r="E13" t="s">
        <v>146</v>
      </c>
      <c r="F13" s="2" t="str">
        <f>LEFT(IF(C13&gt;D13, A13, B13), FIND(",", IF(C13&gt;D13, A13, B13)) - 1)</f>
        <v>RINDERKNECH</v>
      </c>
      <c r="G13" s="2">
        <f>IF(F13=E13, 1, 0)</f>
        <v>1</v>
      </c>
    </row>
    <row r="14" spans="1:11" x14ac:dyDescent="0.35">
      <c r="A14" t="s">
        <v>69</v>
      </c>
      <c r="B14" t="s">
        <v>73</v>
      </c>
      <c r="C14">
        <v>39</v>
      </c>
      <c r="D14">
        <v>61</v>
      </c>
      <c r="E14" t="s">
        <v>74</v>
      </c>
      <c r="F14" s="2" t="str">
        <f>LEFT(IF(C14&gt;D14, A14, B14), FIND(",", IF(C14&gt;D14, A14, B14)) - 1)</f>
        <v>MENSIK</v>
      </c>
      <c r="G14" s="2">
        <f>IF(F14=E14, 1, 0)</f>
        <v>1</v>
      </c>
    </row>
    <row r="15" spans="1:11" x14ac:dyDescent="0.35">
      <c r="A15" t="s">
        <v>82</v>
      </c>
      <c r="B15" t="s">
        <v>85</v>
      </c>
      <c r="C15">
        <v>28</v>
      </c>
      <c r="D15">
        <v>72</v>
      </c>
      <c r="E15" t="s">
        <v>83</v>
      </c>
      <c r="F15" s="2" t="str">
        <f>LEFT(IF(C15&gt;D15, A15, B15), FIND(",", IF(C15&gt;D15, A15, B15)) - 1)</f>
        <v>MACHAC</v>
      </c>
      <c r="G15" s="2">
        <f>IF(F15=E15, 1, 0)</f>
        <v>0</v>
      </c>
    </row>
    <row r="16" spans="1:11" x14ac:dyDescent="0.35">
      <c r="A16" t="s">
        <v>148</v>
      </c>
      <c r="B16" t="s">
        <v>150</v>
      </c>
      <c r="C16">
        <v>38</v>
      </c>
      <c r="D16">
        <v>62</v>
      </c>
      <c r="E16" t="s">
        <v>149</v>
      </c>
      <c r="F16" s="2" t="str">
        <f>LEFT(IF(C16&gt;D16, A16, B16), FIND(",", IF(C16&gt;D16, A16, B16)) - 1)</f>
        <v>TIEN</v>
      </c>
      <c r="G16" s="2">
        <f>IF(F16=E16, 1, 0)</f>
        <v>0</v>
      </c>
    </row>
    <row r="17" spans="1:7" x14ac:dyDescent="0.35">
      <c r="A17" t="s">
        <v>88</v>
      </c>
      <c r="B17" t="s">
        <v>90</v>
      </c>
      <c r="C17">
        <v>62</v>
      </c>
      <c r="D17">
        <v>38</v>
      </c>
      <c r="E17" t="s">
        <v>89</v>
      </c>
      <c r="F17" s="2" t="str">
        <f>LEFT(IF(C17&gt;D17, A17, B17), FIND(",", IF(C17&gt;D17, A17, B17)) - 1)</f>
        <v>KECMANOVIC</v>
      </c>
      <c r="G17" s="2">
        <f>IF(F17=E17, 1, 0)</f>
        <v>1</v>
      </c>
    </row>
    <row r="18" spans="1:7" x14ac:dyDescent="0.35">
      <c r="A18" t="s">
        <v>159</v>
      </c>
      <c r="B18" t="s">
        <v>162</v>
      </c>
      <c r="C18">
        <v>56</v>
      </c>
      <c r="D18">
        <v>44</v>
      </c>
      <c r="E18" t="s">
        <v>164</v>
      </c>
      <c r="F18" s="2" t="str">
        <f>LEFT(IF(C18&gt;D18, A18, B18), FIND(",", IF(C18&gt;D18, A18, B18)) - 1)</f>
        <v>LEHECKA</v>
      </c>
      <c r="G18" s="2">
        <f>IF(F18=E18, 1, 0)</f>
        <v>0</v>
      </c>
    </row>
    <row r="19" spans="1:7" x14ac:dyDescent="0.35">
      <c r="A19" t="s">
        <v>136</v>
      </c>
      <c r="B19" t="s">
        <v>138</v>
      </c>
      <c r="C19">
        <v>42</v>
      </c>
      <c r="D19">
        <v>58</v>
      </c>
      <c r="E19" t="s">
        <v>137</v>
      </c>
      <c r="F19" s="2" t="str">
        <f>LEFT(IF(C19&gt;D19, A19, B19), FIND(",", IF(C19&gt;D19, A19, B19)) - 1)</f>
        <v>QUINN</v>
      </c>
      <c r="G19" s="2">
        <f>IF(F19=E19, 1, 0)</f>
        <v>0</v>
      </c>
    </row>
    <row r="20" spans="1:7" x14ac:dyDescent="0.35">
      <c r="A20" t="s">
        <v>176</v>
      </c>
      <c r="B20" t="s">
        <v>179</v>
      </c>
      <c r="C20">
        <v>42</v>
      </c>
      <c r="D20">
        <v>58</v>
      </c>
      <c r="E20" t="s">
        <v>178</v>
      </c>
      <c r="F20" s="2" t="str">
        <f>LEFT(IF(C20&gt;D20, A20, B20), FIND(",", IF(C20&gt;D20, A20, B20)) - 1)</f>
        <v>ROYER</v>
      </c>
      <c r="G20" s="2">
        <f>IF(F20=E20, 1, 0)</f>
        <v>0</v>
      </c>
    </row>
    <row r="21" spans="1:7" x14ac:dyDescent="0.35">
      <c r="A21" t="s">
        <v>58</v>
      </c>
      <c r="B21" t="s">
        <v>60</v>
      </c>
      <c r="C21">
        <v>42</v>
      </c>
      <c r="D21">
        <v>58</v>
      </c>
      <c r="E21" t="s">
        <v>62</v>
      </c>
      <c r="F21" s="2" t="str">
        <f>LEFT(IF(C21&gt;D21, A21, B21), FIND(",", IF(C21&gt;D21, A21, B21)) - 1)</f>
        <v>MUNAR</v>
      </c>
      <c r="G21" s="2">
        <f>IF(F21=E21, 1, 0)</f>
        <v>1</v>
      </c>
    </row>
    <row r="22" spans="1:7" x14ac:dyDescent="0.35">
      <c r="A22" t="s">
        <v>9</v>
      </c>
      <c r="B22" t="s">
        <v>12</v>
      </c>
      <c r="C22">
        <v>55</v>
      </c>
      <c r="D22">
        <v>45</v>
      </c>
      <c r="E22" t="s">
        <v>11</v>
      </c>
      <c r="F22" s="2" t="str">
        <f>LEFT(IF(C22&gt;D22, A22, B22), FIND(",", IF(C22&gt;D22, A22, B22)) - 1)</f>
        <v>MARTÍNEZ</v>
      </c>
      <c r="G22" s="2">
        <f>IF(F22=E22, 1, 0)</f>
        <v>1</v>
      </c>
    </row>
    <row r="23" spans="1:7" x14ac:dyDescent="0.35">
      <c r="A23" t="s">
        <v>129</v>
      </c>
      <c r="B23" t="s">
        <v>133</v>
      </c>
      <c r="C23">
        <v>37</v>
      </c>
      <c r="D23">
        <v>63</v>
      </c>
      <c r="E23" t="s">
        <v>134</v>
      </c>
      <c r="F23" s="2" t="str">
        <f>LEFT(IF(C23&gt;D23, A23, B23), FIND(",", IF(C23&gt;D23, A23, B23)) - 1)</f>
        <v>KHACHANOV</v>
      </c>
      <c r="G23" s="2">
        <f>IF(F23=E23, 1, 0)</f>
        <v>1</v>
      </c>
    </row>
    <row r="24" spans="1:7" x14ac:dyDescent="0.35">
      <c r="A24" t="s">
        <v>39</v>
      </c>
      <c r="B24" t="s">
        <v>43</v>
      </c>
      <c r="C24">
        <v>55</v>
      </c>
      <c r="D24">
        <v>45</v>
      </c>
      <c r="E24" t="s">
        <v>41</v>
      </c>
      <c r="F24" s="2" t="str">
        <f>LEFT(IF(C24&gt;D24, A24, B24), FIND(",", IF(C24&gt;D24, A24, B24)) - 1)</f>
        <v>NAKASHIMA</v>
      </c>
      <c r="G24" s="2">
        <f>IF(F24=E24, 1, 0)</f>
        <v>1</v>
      </c>
    </row>
    <row r="25" spans="1:7" x14ac:dyDescent="0.35">
      <c r="A25" t="s">
        <v>165</v>
      </c>
      <c r="B25" t="s">
        <v>169</v>
      </c>
      <c r="C25">
        <v>38</v>
      </c>
      <c r="D25">
        <v>63</v>
      </c>
      <c r="E25" t="s">
        <v>167</v>
      </c>
      <c r="F25" s="2" t="str">
        <f>LEFT(IF(C25&gt;D25, A25, B25), FIND(",", IF(C25&gt;D25, A25, B25)) - 1)</f>
        <v>TIAFOE</v>
      </c>
      <c r="G25" s="2">
        <f>IF(F25=E25, 1, 0)</f>
        <v>0</v>
      </c>
    </row>
    <row r="26" spans="1:7" x14ac:dyDescent="0.35">
      <c r="A26" t="s">
        <v>21</v>
      </c>
      <c r="B26" t="s">
        <v>25</v>
      </c>
      <c r="C26">
        <v>27</v>
      </c>
      <c r="D26">
        <v>73</v>
      </c>
      <c r="E26" t="s">
        <v>23</v>
      </c>
      <c r="F26" s="2" t="str">
        <f>LEFT(IF(C26&gt;D26, A26, B26), FIND(",", IF(C26&gt;D26, A26, B26)) - 1)</f>
        <v>PAUL</v>
      </c>
      <c r="G26" s="2">
        <f>IF(F26=E26, 1, 0)</f>
        <v>0</v>
      </c>
    </row>
    <row r="27" spans="1:7" x14ac:dyDescent="0.35">
      <c r="A27" t="s">
        <v>171</v>
      </c>
      <c r="B27" t="s">
        <v>175</v>
      </c>
      <c r="C27">
        <v>77</v>
      </c>
      <c r="D27">
        <v>23</v>
      </c>
      <c r="E27" t="s">
        <v>173</v>
      </c>
      <c r="F27" s="2" t="str">
        <f>LEFT(IF(C27&gt;D27, A27, B27), FIND(",", IF(C27&gt;D27, A27, B27)) - 1)</f>
        <v>RUBLEV</v>
      </c>
      <c r="G27" s="2">
        <f>IF(F27=E27, 1, 0)</f>
        <v>1</v>
      </c>
    </row>
    <row r="28" spans="1:7" x14ac:dyDescent="0.35">
      <c r="A28" t="s">
        <v>27</v>
      </c>
      <c r="B28" t="s">
        <v>30</v>
      </c>
      <c r="C28">
        <v>68</v>
      </c>
      <c r="D28">
        <v>32</v>
      </c>
      <c r="E28" t="s">
        <v>29</v>
      </c>
      <c r="F28" s="2" t="str">
        <f>LEFT(IF(C28&gt;D28, A28, B28), FIND(",", IF(C28&gt;D28, A28, B28)) - 1)</f>
        <v>SHELTON</v>
      </c>
      <c r="G28" s="2">
        <f>IF(F28=E28, 1, 0)</f>
        <v>1</v>
      </c>
    </row>
    <row r="29" spans="1:7" x14ac:dyDescent="0.35">
      <c r="A29" t="s">
        <v>3</v>
      </c>
      <c r="B29" t="s">
        <v>7</v>
      </c>
      <c r="C29">
        <v>90</v>
      </c>
      <c r="D29">
        <v>10</v>
      </c>
      <c r="E29" t="s">
        <v>5</v>
      </c>
      <c r="F29" s="2" t="str">
        <f>LEFT(IF(C29&gt;D29, A29, B29), FIND(",", IF(C29&gt;D29, A29, B29)) - 1)</f>
        <v>SINNER</v>
      </c>
      <c r="G29" s="2">
        <f>IF(F29=E29, 1, 0)</f>
        <v>1</v>
      </c>
    </row>
    <row r="30" spans="1:7" x14ac:dyDescent="0.35">
      <c r="A30" t="s">
        <v>46</v>
      </c>
      <c r="B30" t="s">
        <v>49</v>
      </c>
      <c r="C30">
        <v>65</v>
      </c>
      <c r="D30">
        <v>35</v>
      </c>
      <c r="E30" t="s">
        <v>47</v>
      </c>
      <c r="F30" s="2" t="str">
        <f>LEFT(IF(C30&gt;D30, A30, B30), FIND(",", IF(C30&gt;D30, A30, B30)) - 1)</f>
        <v>SONEGO</v>
      </c>
      <c r="G30" s="2">
        <f>IF(F30=E30, 1, 0)</f>
        <v>1</v>
      </c>
    </row>
    <row r="31" spans="1:7" x14ac:dyDescent="0.35">
      <c r="A31" t="s">
        <v>188</v>
      </c>
      <c r="B31" t="s">
        <v>192</v>
      </c>
      <c r="C31">
        <v>6</v>
      </c>
      <c r="D31">
        <v>94</v>
      </c>
      <c r="E31" t="s">
        <v>193</v>
      </c>
      <c r="F31" s="2" t="str">
        <f>LEFT(IF(C31&gt;D31, A31, B31), FIND(",", IF(C31&gt;D31, A31, B31)) - 1)</f>
        <v>ALCARAZ</v>
      </c>
      <c r="G31" s="2">
        <f>IF(F31=E31, 1, 0)</f>
        <v>1</v>
      </c>
    </row>
    <row r="32" spans="1:7" x14ac:dyDescent="0.35">
      <c r="A32" t="s">
        <v>118</v>
      </c>
      <c r="B32" t="s">
        <v>120</v>
      </c>
      <c r="C32">
        <v>53</v>
      </c>
      <c r="D32">
        <v>47</v>
      </c>
      <c r="E32" t="s">
        <v>119</v>
      </c>
      <c r="F32" s="2" t="str">
        <f>LEFT(IF(C32&gt;D32, A32, B32), FIND(",", IF(C32&gt;D32, A32, B32)) - 1)</f>
        <v>THOMPSON</v>
      </c>
      <c r="G32" s="2">
        <f>IF(F32=E32, 1, 0)</f>
        <v>1</v>
      </c>
    </row>
    <row r="33" spans="1:7" x14ac:dyDescent="0.35">
      <c r="A33" t="s">
        <v>106</v>
      </c>
      <c r="B33" t="s">
        <v>109</v>
      </c>
      <c r="C33">
        <v>35</v>
      </c>
      <c r="D33">
        <v>65</v>
      </c>
      <c r="E33" t="s">
        <v>110</v>
      </c>
      <c r="F33" s="2" t="str">
        <f>LEFT(IF(C33&gt;D33, A33, B33), FIND(",", IF(C33&gt;D33, A33, B33)) - 1)</f>
        <v>DAVIDOVICH FOKINA</v>
      </c>
      <c r="G33" s="2">
        <f>IF(F33=E33, 1, 0)</f>
        <v>1</v>
      </c>
    </row>
  </sheetData>
  <autoFilter ref="A1:G33" xr:uid="{BA468E2B-B98F-49D5-BB7C-817B60D20F6A}">
    <sortState xmlns:xlrd2="http://schemas.microsoft.com/office/spreadsheetml/2017/richdata2" ref="A2:G33">
      <sortCondition ref="A1:A33"/>
    </sortState>
  </autoFilter>
  <conditionalFormatting sqref="G2:G33">
    <cfRule type="cellIs" dxfId="8" priority="1" operator="equal">
      <formula>0</formula>
    </cfRule>
    <cfRule type="cellIs" dxfId="7" priority="2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3751-FF78-4C3C-8ABE-F983B99484C6}">
  <dimension ref="A1:K20"/>
  <sheetViews>
    <sheetView workbookViewId="0">
      <pane ySplit="1" topLeftCell="A2" activePane="bottomLeft" state="frozen"/>
      <selection pane="bottomLeft" activeCell="J4" sqref="J4:K5"/>
    </sheetView>
  </sheetViews>
  <sheetFormatPr defaultRowHeight="14.5" x14ac:dyDescent="0.35"/>
  <cols>
    <col min="1" max="1" width="18.90625" bestFit="1" customWidth="1"/>
    <col min="2" max="2" width="26.90625" bestFit="1" customWidth="1"/>
    <col min="3" max="4" width="13" bestFit="1" customWidth="1"/>
    <col min="5" max="5" width="11.54296875" bestFit="1" customWidth="1"/>
    <col min="6" max="6" width="12.90625" bestFit="1" customWidth="1"/>
    <col min="7" max="7" width="7.453125" bestFit="1" customWidth="1"/>
    <col min="10" max="10" width="1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</row>
    <row r="2" spans="1:11" x14ac:dyDescent="0.35">
      <c r="A2" s="8" t="s">
        <v>3</v>
      </c>
      <c r="B2" s="8" t="s">
        <v>9</v>
      </c>
      <c r="C2" s="8">
        <v>85</v>
      </c>
      <c r="D2" s="8">
        <v>15</v>
      </c>
      <c r="E2" s="8" t="s">
        <v>5</v>
      </c>
      <c r="F2" t="str">
        <f>LEFT(IF(C2&gt;D2, A2, B2), FIND(",", IF(C2&gt;D2, A2, B2)) - 1)</f>
        <v>SINNER</v>
      </c>
      <c r="G2">
        <f>IF(F2=E2, 1, 0)</f>
        <v>1</v>
      </c>
    </row>
    <row r="3" spans="1:11" ht="15" thickBot="1" x14ac:dyDescent="0.4">
      <c r="A3" s="8" t="s">
        <v>15</v>
      </c>
      <c r="B3" s="8" t="s">
        <v>21</v>
      </c>
      <c r="C3" s="8">
        <v>70</v>
      </c>
      <c r="D3" s="8">
        <v>30</v>
      </c>
      <c r="E3" s="8" t="s">
        <v>17</v>
      </c>
      <c r="F3" s="8" t="str">
        <f t="shared" ref="F3:F17" si="0">LEFT(IF(C3&gt;D3, A3, B3), FIND(",", IF(C3&gt;D3, A3, B3)) - 1)</f>
        <v>DIMITROV</v>
      </c>
      <c r="G3" s="8">
        <f t="shared" ref="G3:G17" si="1">IF(F3=E3, 1, 0)</f>
        <v>1</v>
      </c>
    </row>
    <row r="4" spans="1:11" x14ac:dyDescent="0.35">
      <c r="A4" s="8" t="s">
        <v>27</v>
      </c>
      <c r="B4" s="8" t="s">
        <v>34</v>
      </c>
      <c r="C4" s="8">
        <v>68</v>
      </c>
      <c r="D4" s="8">
        <v>32</v>
      </c>
      <c r="E4" s="8" t="s">
        <v>29</v>
      </c>
      <c r="F4" s="8" t="str">
        <f t="shared" si="0"/>
        <v>SHELTON</v>
      </c>
      <c r="G4" s="8">
        <f t="shared" si="1"/>
        <v>1</v>
      </c>
      <c r="J4" s="4" t="s">
        <v>199</v>
      </c>
      <c r="K4" s="5">
        <v>11</v>
      </c>
    </row>
    <row r="5" spans="1:11" ht="15" thickBot="1" x14ac:dyDescent="0.4">
      <c r="A5" s="8" t="s">
        <v>39</v>
      </c>
      <c r="B5" s="8" t="s">
        <v>46</v>
      </c>
      <c r="C5" s="8">
        <v>49</v>
      </c>
      <c r="D5" s="8">
        <v>51</v>
      </c>
      <c r="E5" s="8" t="s">
        <v>41</v>
      </c>
      <c r="F5" s="8" t="str">
        <f t="shared" si="0"/>
        <v>SONEGO</v>
      </c>
      <c r="G5" s="8">
        <f t="shared" si="1"/>
        <v>0</v>
      </c>
      <c r="J5" s="6" t="s">
        <v>200</v>
      </c>
      <c r="K5" s="7">
        <f>11/16</f>
        <v>0.6875</v>
      </c>
    </row>
    <row r="6" spans="1:11" x14ac:dyDescent="0.35">
      <c r="A6" s="8" t="s">
        <v>55</v>
      </c>
      <c r="B6" s="8" t="s">
        <v>60</v>
      </c>
      <c r="C6" s="8">
        <v>43</v>
      </c>
      <c r="D6" s="8">
        <v>57</v>
      </c>
      <c r="E6" s="8" t="s">
        <v>56</v>
      </c>
      <c r="F6" s="8" t="str">
        <f t="shared" si="0"/>
        <v>MUNAR</v>
      </c>
      <c r="G6" s="8">
        <f t="shared" si="1"/>
        <v>0</v>
      </c>
    </row>
    <row r="7" spans="1:11" x14ac:dyDescent="0.35">
      <c r="A7" s="8" t="s">
        <v>63</v>
      </c>
      <c r="B7" s="8" t="s">
        <v>73</v>
      </c>
      <c r="C7" s="8">
        <v>42</v>
      </c>
      <c r="D7" s="8">
        <v>58</v>
      </c>
      <c r="E7" s="8" t="s">
        <v>65</v>
      </c>
      <c r="F7" s="8" t="str">
        <f t="shared" si="0"/>
        <v>MENSIK</v>
      </c>
      <c r="G7" s="8">
        <f t="shared" si="1"/>
        <v>0</v>
      </c>
    </row>
    <row r="8" spans="1:11" x14ac:dyDescent="0.35">
      <c r="A8" s="8" t="s">
        <v>75</v>
      </c>
      <c r="B8" s="8" t="s">
        <v>82</v>
      </c>
      <c r="C8" s="8">
        <v>72</v>
      </c>
      <c r="D8" s="8">
        <v>28</v>
      </c>
      <c r="E8" s="8" t="s">
        <v>77</v>
      </c>
      <c r="F8" s="8" t="str">
        <f t="shared" si="0"/>
        <v>DE MINAUR</v>
      </c>
      <c r="G8" s="8">
        <f t="shared" si="1"/>
        <v>1</v>
      </c>
    </row>
    <row r="9" spans="1:11" x14ac:dyDescent="0.35">
      <c r="A9" s="8" t="s">
        <v>88</v>
      </c>
      <c r="B9" s="8" t="s">
        <v>97</v>
      </c>
      <c r="C9" s="8">
        <v>23</v>
      </c>
      <c r="D9" s="8">
        <v>77</v>
      </c>
      <c r="E9" s="8" t="s">
        <v>98</v>
      </c>
      <c r="F9" s="8" t="str">
        <f t="shared" si="0"/>
        <v>DJOKOVIC</v>
      </c>
      <c r="G9" s="8">
        <f t="shared" si="1"/>
        <v>1</v>
      </c>
    </row>
    <row r="10" spans="1:11" x14ac:dyDescent="0.35">
      <c r="A10" s="8" t="s">
        <v>99</v>
      </c>
      <c r="B10" s="8" t="s">
        <v>109</v>
      </c>
      <c r="C10" s="8">
        <v>65</v>
      </c>
      <c r="D10" s="8">
        <v>35</v>
      </c>
      <c r="E10" s="8" t="s">
        <v>101</v>
      </c>
      <c r="F10" s="8" t="str">
        <f t="shared" si="0"/>
        <v>FRITZ</v>
      </c>
      <c r="G10" s="8">
        <f t="shared" si="1"/>
        <v>1</v>
      </c>
    </row>
    <row r="11" spans="1:11" x14ac:dyDescent="0.35">
      <c r="A11" s="8" t="s">
        <v>114</v>
      </c>
      <c r="B11" s="8" t="s">
        <v>118</v>
      </c>
      <c r="C11" s="8">
        <v>52</v>
      </c>
      <c r="D11" s="8">
        <v>48</v>
      </c>
      <c r="E11" s="8" t="s">
        <v>116</v>
      </c>
      <c r="F11" s="8" t="str">
        <f t="shared" si="0"/>
        <v>DARDERI</v>
      </c>
      <c r="G11" s="8">
        <f t="shared" si="1"/>
        <v>1</v>
      </c>
    </row>
    <row r="12" spans="1:11" x14ac:dyDescent="0.35">
      <c r="A12" s="8" t="s">
        <v>124</v>
      </c>
      <c r="B12" s="8" t="s">
        <v>133</v>
      </c>
      <c r="C12" s="8">
        <v>48</v>
      </c>
      <c r="D12" s="8">
        <v>52</v>
      </c>
      <c r="E12" s="8" t="s">
        <v>134</v>
      </c>
      <c r="F12" s="8" t="str">
        <f t="shared" si="0"/>
        <v>KHACHANOV</v>
      </c>
      <c r="G12" s="8">
        <f t="shared" si="1"/>
        <v>1</v>
      </c>
    </row>
    <row r="13" spans="1:11" x14ac:dyDescent="0.35">
      <c r="A13" s="8" t="s">
        <v>136</v>
      </c>
      <c r="B13" s="8" t="s">
        <v>144</v>
      </c>
      <c r="C13" s="8">
        <v>43</v>
      </c>
      <c r="D13" s="8">
        <v>57</v>
      </c>
      <c r="E13" s="8" t="s">
        <v>146</v>
      </c>
      <c r="F13" s="8" t="str">
        <f t="shared" si="0"/>
        <v>RINDERKNECH</v>
      </c>
      <c r="G13" s="8">
        <f t="shared" si="1"/>
        <v>1</v>
      </c>
    </row>
    <row r="14" spans="1:11" x14ac:dyDescent="0.35">
      <c r="A14" s="8" t="s">
        <v>148</v>
      </c>
      <c r="B14" s="8" t="s">
        <v>154</v>
      </c>
      <c r="C14" s="8">
        <v>35</v>
      </c>
      <c r="D14" s="8">
        <v>65</v>
      </c>
      <c r="E14" s="8" t="s">
        <v>149</v>
      </c>
      <c r="F14" s="8" t="str">
        <f t="shared" si="0"/>
        <v>FONSECA</v>
      </c>
      <c r="G14" s="8">
        <f t="shared" si="1"/>
        <v>0</v>
      </c>
    </row>
    <row r="15" spans="1:11" x14ac:dyDescent="0.35">
      <c r="A15" s="8" t="s">
        <v>162</v>
      </c>
      <c r="B15" s="8" t="s">
        <v>165</v>
      </c>
      <c r="C15" s="8">
        <v>56</v>
      </c>
      <c r="D15" s="8">
        <v>44</v>
      </c>
      <c r="E15" s="8" t="s">
        <v>167</v>
      </c>
      <c r="F15" s="8" t="str">
        <f t="shared" si="0"/>
        <v>BELLUCCI</v>
      </c>
      <c r="G15" s="8">
        <f t="shared" si="1"/>
        <v>0</v>
      </c>
    </row>
    <row r="16" spans="1:11" x14ac:dyDescent="0.35">
      <c r="A16" s="8" t="s">
        <v>171</v>
      </c>
      <c r="B16" s="8" t="s">
        <v>176</v>
      </c>
      <c r="C16" s="8">
        <v>71</v>
      </c>
      <c r="D16" s="8">
        <v>29</v>
      </c>
      <c r="E16" s="8" t="s">
        <v>173</v>
      </c>
      <c r="F16" s="8" t="str">
        <f t="shared" si="0"/>
        <v>RUBLEV</v>
      </c>
      <c r="G16" s="8">
        <f t="shared" si="1"/>
        <v>1</v>
      </c>
    </row>
    <row r="17" spans="1:7" x14ac:dyDescent="0.35">
      <c r="A17" s="8" t="s">
        <v>185</v>
      </c>
      <c r="B17" s="8" t="s">
        <v>192</v>
      </c>
      <c r="C17" s="8">
        <v>11</v>
      </c>
      <c r="D17" s="8">
        <v>89</v>
      </c>
      <c r="E17" s="8" t="s">
        <v>193</v>
      </c>
      <c r="F17" s="8" t="str">
        <f t="shared" si="0"/>
        <v>ALCARAZ</v>
      </c>
      <c r="G17" s="8">
        <f t="shared" si="1"/>
        <v>1</v>
      </c>
    </row>
    <row r="20" spans="1:7" x14ac:dyDescent="0.35">
      <c r="A20" s="2"/>
    </row>
  </sheetData>
  <autoFilter ref="A1:G17" xr:uid="{ACEA3751-FF78-4C3C-8ABE-F983B99484C6}">
    <sortState xmlns:xlrd2="http://schemas.microsoft.com/office/spreadsheetml/2017/richdata2" ref="A2:G17">
      <sortCondition ref="A1:A17"/>
    </sortState>
  </autoFilter>
  <conditionalFormatting sqref="G2:G17">
    <cfRule type="cellIs" dxfId="6" priority="2" operator="equal">
      <formula>1</formula>
    </cfRule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FC45-B22C-4AD5-9F0B-B6BE598565A3}">
  <dimension ref="A1:K9"/>
  <sheetViews>
    <sheetView workbookViewId="0">
      <pane ySplit="1" topLeftCell="A2" activePane="bottomLeft" state="frozen"/>
      <selection pane="bottomLeft" activeCell="G2" sqref="G2:G9"/>
    </sheetView>
  </sheetViews>
  <sheetFormatPr defaultRowHeight="14.5" x14ac:dyDescent="0.35"/>
  <cols>
    <col min="1" max="1" width="17.26953125" bestFit="1" customWidth="1"/>
    <col min="2" max="2" width="16.81640625" bestFit="1" customWidth="1"/>
    <col min="3" max="4" width="13" bestFit="1" customWidth="1"/>
    <col min="5" max="5" width="11.54296875" bestFit="1" customWidth="1"/>
    <col min="6" max="6" width="10.26953125" bestFit="1" customWidth="1"/>
    <col min="7" max="7" width="5.1796875" bestFit="1" customWidth="1"/>
    <col min="10" max="10" width="1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</row>
    <row r="2" spans="1:11" ht="15" thickBot="1" x14ac:dyDescent="0.4">
      <c r="A2" s="2" t="s">
        <v>3</v>
      </c>
      <c r="B2" s="2" t="s">
        <v>15</v>
      </c>
      <c r="C2" s="2">
        <v>86</v>
      </c>
      <c r="D2" s="2">
        <v>14</v>
      </c>
      <c r="E2" s="2" t="s">
        <v>5</v>
      </c>
      <c r="F2" t="str">
        <f>LEFT(IF(C2&gt;D2, A2, B2), FIND(",", IF(C2&gt;D2, A2, B2)) - 1)</f>
        <v>SINNER</v>
      </c>
      <c r="G2">
        <f>IF(F2=E2, 1, 0)</f>
        <v>1</v>
      </c>
    </row>
    <row r="3" spans="1:11" x14ac:dyDescent="0.35">
      <c r="A3" s="2" t="s">
        <v>27</v>
      </c>
      <c r="B3" s="2" t="s">
        <v>46</v>
      </c>
      <c r="C3" s="2">
        <v>63</v>
      </c>
      <c r="D3" s="2">
        <v>37</v>
      </c>
      <c r="E3" s="2" t="s">
        <v>29</v>
      </c>
      <c r="F3" s="8" t="str">
        <f t="shared" ref="F3:F9" si="0">LEFT(IF(C3&gt;D3, A3, B3), FIND(",", IF(C3&gt;D3, A3, B3)) - 1)</f>
        <v>SHELTON</v>
      </c>
      <c r="G3" s="8">
        <f t="shared" ref="G3:G9" si="1">IF(F3=E3, 1, 0)</f>
        <v>1</v>
      </c>
      <c r="J3" s="4" t="s">
        <v>199</v>
      </c>
      <c r="K3" s="5">
        <v>8</v>
      </c>
    </row>
    <row r="4" spans="1:11" ht="15" thickBot="1" x14ac:dyDescent="0.4">
      <c r="A4" s="2" t="s">
        <v>55</v>
      </c>
      <c r="B4" s="2" t="s">
        <v>63</v>
      </c>
      <c r="C4" s="2">
        <v>32</v>
      </c>
      <c r="D4" s="2">
        <v>68</v>
      </c>
      <c r="E4" s="2" t="s">
        <v>65</v>
      </c>
      <c r="F4" s="8" t="str">
        <f t="shared" si="0"/>
        <v>COBOLLI</v>
      </c>
      <c r="G4" s="8">
        <f t="shared" si="1"/>
        <v>1</v>
      </c>
      <c r="J4" s="6" t="s">
        <v>200</v>
      </c>
      <c r="K4" s="7">
        <f>8/8</f>
        <v>1</v>
      </c>
    </row>
    <row r="5" spans="1:11" x14ac:dyDescent="0.35">
      <c r="A5" s="2" t="s">
        <v>75</v>
      </c>
      <c r="B5" s="2" t="s">
        <v>97</v>
      </c>
      <c r="C5" s="2">
        <v>29</v>
      </c>
      <c r="D5" s="2">
        <v>71</v>
      </c>
      <c r="E5" s="2" t="s">
        <v>98</v>
      </c>
      <c r="F5" s="8" t="str">
        <f t="shared" si="0"/>
        <v>DJOKOVIC</v>
      </c>
      <c r="G5" s="8">
        <f t="shared" si="1"/>
        <v>1</v>
      </c>
    </row>
    <row r="6" spans="1:11" x14ac:dyDescent="0.35">
      <c r="A6" s="2" t="s">
        <v>99</v>
      </c>
      <c r="B6" s="2" t="s">
        <v>118</v>
      </c>
      <c r="C6" s="2">
        <v>77</v>
      </c>
      <c r="D6" s="2">
        <v>23</v>
      </c>
      <c r="E6" s="2" t="s">
        <v>101</v>
      </c>
      <c r="F6" s="8" t="str">
        <f t="shared" si="0"/>
        <v>FRITZ</v>
      </c>
      <c r="G6" s="8">
        <f t="shared" si="1"/>
        <v>1</v>
      </c>
    </row>
    <row r="7" spans="1:11" x14ac:dyDescent="0.35">
      <c r="A7" s="2" t="s">
        <v>133</v>
      </c>
      <c r="B7" s="2" t="s">
        <v>136</v>
      </c>
      <c r="C7" s="2">
        <v>68</v>
      </c>
      <c r="D7" s="2">
        <v>32</v>
      </c>
      <c r="E7" s="2" t="s">
        <v>134</v>
      </c>
      <c r="F7" s="8" t="str">
        <f t="shared" si="0"/>
        <v>KHACHANOV</v>
      </c>
      <c r="G7" s="8">
        <f t="shared" si="1"/>
        <v>1</v>
      </c>
    </row>
    <row r="8" spans="1:11" x14ac:dyDescent="0.35">
      <c r="A8" s="2" t="s">
        <v>148</v>
      </c>
      <c r="B8" s="2" t="s">
        <v>165</v>
      </c>
      <c r="C8" s="2">
        <v>41</v>
      </c>
      <c r="D8" s="2">
        <v>59</v>
      </c>
      <c r="E8" s="2" t="s">
        <v>167</v>
      </c>
      <c r="F8" s="8" t="str">
        <f t="shared" si="0"/>
        <v>NORRIE</v>
      </c>
      <c r="G8" s="8">
        <f t="shared" si="1"/>
        <v>1</v>
      </c>
    </row>
    <row r="9" spans="1:11" x14ac:dyDescent="0.35">
      <c r="A9" s="2" t="s">
        <v>171</v>
      </c>
      <c r="B9" s="2" t="s">
        <v>192</v>
      </c>
      <c r="C9" s="2">
        <v>25</v>
      </c>
      <c r="D9" s="2">
        <v>75</v>
      </c>
      <c r="E9" s="2" t="s">
        <v>193</v>
      </c>
      <c r="F9" s="8" t="str">
        <f t="shared" si="0"/>
        <v>ALCARAZ</v>
      </c>
      <c r="G9" s="8">
        <f t="shared" si="1"/>
        <v>1</v>
      </c>
    </row>
  </sheetData>
  <conditionalFormatting sqref="G2:G9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FC20-F2D4-42EE-B26E-57F7A91BDF6D}">
  <dimension ref="A1:K5"/>
  <sheetViews>
    <sheetView workbookViewId="0">
      <pane ySplit="1" topLeftCell="A2" activePane="bottomLeft" state="frozen"/>
      <selection pane="bottomLeft" activeCell="G2" sqref="G2:G5"/>
    </sheetView>
  </sheetViews>
  <sheetFormatPr defaultRowHeight="14.5" x14ac:dyDescent="0.35"/>
  <cols>
    <col min="1" max="1" width="17.26953125" bestFit="1" customWidth="1"/>
    <col min="2" max="2" width="15.54296875" bestFit="1" customWidth="1"/>
    <col min="3" max="4" width="12" bestFit="1" customWidth="1"/>
    <col min="5" max="5" width="11.54296875" bestFit="1" customWidth="1"/>
    <col min="6" max="6" width="10.26953125" bestFit="1" customWidth="1"/>
    <col min="7" max="7" width="5.1796875" bestFit="1" customWidth="1"/>
    <col min="10" max="10" width="1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</row>
    <row r="2" spans="1:11" ht="15" thickBot="1" x14ac:dyDescent="0.4">
      <c r="A2" t="s">
        <v>27</v>
      </c>
      <c r="B2" t="s">
        <v>3</v>
      </c>
      <c r="C2">
        <v>21</v>
      </c>
      <c r="D2">
        <v>79</v>
      </c>
      <c r="E2" t="s">
        <v>5</v>
      </c>
      <c r="F2" t="str">
        <f>LEFT(IF(C2&gt;D2, A2, B2), FIND(",", IF(C2&gt;D2, A2, B2)) - 1)</f>
        <v>SINNER</v>
      </c>
      <c r="G2">
        <f>IF(F2=E2, 1, 0)</f>
        <v>1</v>
      </c>
    </row>
    <row r="3" spans="1:11" x14ac:dyDescent="0.35">
      <c r="A3" t="s">
        <v>63</v>
      </c>
      <c r="B3" t="s">
        <v>97</v>
      </c>
      <c r="C3">
        <v>28</v>
      </c>
      <c r="D3">
        <v>72</v>
      </c>
      <c r="E3" t="s">
        <v>98</v>
      </c>
      <c r="F3" s="8" t="str">
        <f t="shared" ref="F3:F5" si="0">LEFT(IF(C3&gt;D3, A3, B3), FIND(",", IF(C3&gt;D3, A3, B3)) - 1)</f>
        <v>DJOKOVIC</v>
      </c>
      <c r="G3" s="8">
        <f t="shared" ref="G3:G5" si="1">IF(F3=E3, 1, 0)</f>
        <v>1</v>
      </c>
      <c r="J3" s="4" t="s">
        <v>199</v>
      </c>
      <c r="K3" s="5">
        <v>4</v>
      </c>
    </row>
    <row r="4" spans="1:11" ht="15" thickBot="1" x14ac:dyDescent="0.4">
      <c r="A4" t="s">
        <v>133</v>
      </c>
      <c r="B4" t="s">
        <v>99</v>
      </c>
      <c r="C4">
        <v>34</v>
      </c>
      <c r="D4">
        <v>66</v>
      </c>
      <c r="E4" t="s">
        <v>101</v>
      </c>
      <c r="F4" s="8" t="str">
        <f t="shared" si="0"/>
        <v>FRITZ</v>
      </c>
      <c r="G4" s="8">
        <f t="shared" si="1"/>
        <v>1</v>
      </c>
      <c r="J4" s="6" t="s">
        <v>200</v>
      </c>
      <c r="K4" s="7">
        <f>4/4</f>
        <v>1</v>
      </c>
    </row>
    <row r="5" spans="1:11" x14ac:dyDescent="0.35">
      <c r="A5" t="s">
        <v>192</v>
      </c>
      <c r="B5" t="s">
        <v>165</v>
      </c>
      <c r="C5">
        <v>87</v>
      </c>
      <c r="D5">
        <v>13</v>
      </c>
      <c r="E5" t="s">
        <v>193</v>
      </c>
      <c r="F5" s="8" t="str">
        <f t="shared" si="0"/>
        <v>ALCARAZ</v>
      </c>
      <c r="G5" s="8">
        <f t="shared" si="1"/>
        <v>1</v>
      </c>
    </row>
  </sheetData>
  <conditionalFormatting sqref="G2:G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7C8-0180-4F68-B33D-869F44F7E5B7}">
  <dimension ref="A1:K4"/>
  <sheetViews>
    <sheetView workbookViewId="0">
      <pane ySplit="1" topLeftCell="A2" activePane="bottomLeft" state="frozen"/>
      <selection pane="bottomLeft" activeCell="F14" sqref="F14"/>
    </sheetView>
  </sheetViews>
  <sheetFormatPr defaultRowHeight="14.5" x14ac:dyDescent="0.35"/>
  <cols>
    <col min="1" max="1" width="14.54296875" bestFit="1" customWidth="1"/>
    <col min="2" max="2" width="15.54296875" bestFit="1" customWidth="1"/>
    <col min="3" max="4" width="12" bestFit="1" customWidth="1"/>
    <col min="5" max="5" width="7.90625" bestFit="1" customWidth="1"/>
    <col min="6" max="6" width="10.26953125" bestFit="1" customWidth="1"/>
    <col min="7" max="7" width="5.1796875" bestFit="1" customWidth="1"/>
    <col min="10" max="10" width="1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</row>
    <row r="2" spans="1:11" ht="15" thickBot="1" x14ac:dyDescent="0.4">
      <c r="A2" s="2" t="s">
        <v>3</v>
      </c>
      <c r="B2" s="2" t="s">
        <v>97</v>
      </c>
      <c r="C2">
        <v>58</v>
      </c>
      <c r="D2">
        <v>42</v>
      </c>
      <c r="E2" t="s">
        <v>5</v>
      </c>
      <c r="F2" t="str">
        <f>LEFT(IF(C2&gt;D2, A2, B2), FIND(",", IF(C2&gt;D2, A2, B2)) - 1)</f>
        <v>SINNER</v>
      </c>
      <c r="G2" s="8">
        <f>IF(F2=E2, 1, 0)</f>
        <v>1</v>
      </c>
    </row>
    <row r="3" spans="1:11" x14ac:dyDescent="0.35">
      <c r="A3" s="2" t="s">
        <v>192</v>
      </c>
      <c r="B3" s="8" t="s">
        <v>99</v>
      </c>
      <c r="C3">
        <v>60</v>
      </c>
      <c r="D3">
        <v>40</v>
      </c>
      <c r="E3" t="s">
        <v>193</v>
      </c>
      <c r="F3" s="8" t="str">
        <f>LEFT(IF(C3&gt;D3, A3, B3), FIND(",", IF(C3&gt;D3, A3, B3)) - 1)</f>
        <v>ALCARAZ</v>
      </c>
      <c r="G3" s="8">
        <f>IF(F3=E3, 1, 0)</f>
        <v>1</v>
      </c>
      <c r="J3" s="4" t="s">
        <v>199</v>
      </c>
      <c r="K3" s="5">
        <v>2</v>
      </c>
    </row>
    <row r="4" spans="1:11" ht="15" thickBot="1" x14ac:dyDescent="0.4">
      <c r="J4" s="6" t="s">
        <v>200</v>
      </c>
      <c r="K4" s="7">
        <f>2/2</f>
        <v>1</v>
      </c>
    </row>
  </sheetData>
  <conditionalFormatting sqref="G2:G3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A5AE-209F-4B33-912E-0B335547B6EF}">
  <dimension ref="A1:K4"/>
  <sheetViews>
    <sheetView workbookViewId="0">
      <pane ySplit="1" topLeftCell="A2" activePane="bottomLeft" state="frozen"/>
      <selection pane="bottomLeft" activeCell="K30" sqref="K30"/>
    </sheetView>
  </sheetViews>
  <sheetFormatPr defaultRowHeight="14.5" x14ac:dyDescent="0.35"/>
  <cols>
    <col min="1" max="1" width="12.90625" bestFit="1" customWidth="1"/>
    <col min="2" max="2" width="14.54296875" bestFit="1" customWidth="1"/>
    <col min="3" max="4" width="12" bestFit="1" customWidth="1"/>
    <col min="5" max="5" width="7.90625" bestFit="1" customWidth="1"/>
    <col min="6" max="6" width="10.26953125" bestFit="1" customWidth="1"/>
    <col min="7" max="7" width="5.1796875" bestFit="1" customWidth="1"/>
    <col min="10" max="10" width="13.816406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194</v>
      </c>
      <c r="D1" s="1" t="s">
        <v>195</v>
      </c>
      <c r="E1" s="1" t="s">
        <v>2</v>
      </c>
      <c r="F1" s="1" t="s">
        <v>198</v>
      </c>
      <c r="G1" s="1" t="s">
        <v>197</v>
      </c>
    </row>
    <row r="2" spans="1:11" ht="15" thickBot="1" x14ac:dyDescent="0.4">
      <c r="A2" s="2" t="s">
        <v>3</v>
      </c>
      <c r="B2" s="2" t="s">
        <v>192</v>
      </c>
      <c r="C2">
        <v>53</v>
      </c>
      <c r="D2">
        <v>47</v>
      </c>
      <c r="E2" t="s">
        <v>5</v>
      </c>
      <c r="F2" s="8" t="str">
        <f>LEFT(IF(C2&gt;D2, A2, B2), FIND(",", IF(C2&gt;D2, A2, B2)) - 1)</f>
        <v>SINNER</v>
      </c>
      <c r="G2" s="8">
        <f>IF(F2=E2, 1, 0)</f>
        <v>1</v>
      </c>
    </row>
    <row r="3" spans="1:11" x14ac:dyDescent="0.35">
      <c r="J3" s="4" t="s">
        <v>199</v>
      </c>
      <c r="K3" s="5">
        <v>1</v>
      </c>
    </row>
    <row r="4" spans="1:11" ht="15" thickBot="1" x14ac:dyDescent="0.4">
      <c r="J4" s="6" t="s">
        <v>200</v>
      </c>
      <c r="K4" s="7">
        <f>1/1</f>
        <v>1</v>
      </c>
    </row>
  </sheetData>
  <conditionalFormatting sqref="G2">
    <cfRule type="cellIs" dxfId="3" priority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67090-2C26-49A9-924E-3FB5741E02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Ronda 1</vt:lpstr>
      <vt:lpstr>Ronda 2</vt:lpstr>
      <vt:lpstr>Ronda 3</vt:lpstr>
      <vt:lpstr>Ronda 4</vt:lpstr>
      <vt:lpstr>Quarts</vt:lpstr>
      <vt:lpstr>Semi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 Ruiz Kerclova</dc:creator>
  <cp:lastModifiedBy>Iker  Ruiz Kerclova</cp:lastModifiedBy>
  <dcterms:created xsi:type="dcterms:W3CDTF">2025-11-25T16:15:09Z</dcterms:created>
  <dcterms:modified xsi:type="dcterms:W3CDTF">2025-11-25T18:10:21Z</dcterms:modified>
</cp:coreProperties>
</file>